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sos GPS" sheetId="1" r:id="rId5"/>
    <sheet state="visible" name="Validacion GPS" sheetId="2" r:id="rId6"/>
    <sheet state="visible" name="Resumen GPS" sheetId="3" r:id="rId7"/>
  </sheets>
  <definedNames/>
  <calcPr/>
</workbook>
</file>

<file path=xl/sharedStrings.xml><?xml version="1.0" encoding="utf-8"?>
<sst xmlns="http://schemas.openxmlformats.org/spreadsheetml/2006/main" count="696" uniqueCount="86">
  <si>
    <t>PESOS Y NORMALIZACIÓN | GPS NUEVA YORK · TOKIO</t>
  </si>
  <si>
    <t>ID</t>
  </si>
  <si>
    <t>VALIDACIÓN DE PESOS | RED NEURONAL GPS</t>
  </si>
  <si>
    <t>Ciudad</t>
  </si>
  <si>
    <t>Latitud</t>
  </si>
  <si>
    <t>Longitud</t>
  </si>
  <si>
    <t>Clase real</t>
  </si>
  <si>
    <t>Modelo NumPy: arquitectura 2 → 4 → 8 → 1, ReLU / ReLU / Sigmoide</t>
  </si>
  <si>
    <t>Datos</t>
  </si>
  <si>
    <t>Indicador</t>
  </si>
  <si>
    <t>Lat norm</t>
  </si>
  <si>
    <t>Lon norm</t>
  </si>
  <si>
    <t>Valor</t>
  </si>
  <si>
    <t>Normalización</t>
  </si>
  <si>
    <t>ReLU1_N1</t>
  </si>
  <si>
    <t>Nueva York</t>
  </si>
  <si>
    <t>ReLU1_N2</t>
  </si>
  <si>
    <t>ReLU1_N3</t>
  </si>
  <si>
    <t>ReLU1_N4</t>
  </si>
  <si>
    <t>Estadístico</t>
  </si>
  <si>
    <t>Tokio</t>
  </si>
  <si>
    <t>ReLU2_N1</t>
  </si>
  <si>
    <t>ReLU2_N2</t>
  </si>
  <si>
    <t>Total coordenadas</t>
  </si>
  <si>
    <t>ReLU2_N3</t>
  </si>
  <si>
    <t>Capa 1 (2 entradas → 4 neuronas)</t>
  </si>
  <si>
    <t>Arquitectura</t>
  </si>
  <si>
    <t>ReLU2_N4</t>
  </si>
  <si>
    <t>2 → 4 → 8 → 1</t>
  </si>
  <si>
    <t>ReLU2_N5</t>
  </si>
  <si>
    <t>ReLU2_N6</t>
  </si>
  <si>
    <t>Media lat</t>
  </si>
  <si>
    <t>Épocas</t>
  </si>
  <si>
    <t>ReLU2_N7</t>
  </si>
  <si>
    <t>Tasa de aprendizaje</t>
  </si>
  <si>
    <t>ReLU2_N8</t>
  </si>
  <si>
    <t>Logit</t>
  </si>
  <si>
    <t>MSE final NumPy</t>
  </si>
  <si>
    <t>Entrada</t>
  </si>
  <si>
    <t>Sigmoide</t>
  </si>
  <si>
    <t>N1</t>
  </si>
  <si>
    <t>Clase predicha</t>
  </si>
  <si>
    <t>N2</t>
  </si>
  <si>
    <t>Exactitud en entrenamiento NumPy</t>
  </si>
  <si>
    <t>N3</t>
  </si>
  <si>
    <t>Acierto</t>
  </si>
  <si>
    <t>N4</t>
  </si>
  <si>
    <t>Error absoluto</t>
  </si>
  <si>
    <t>Desv lat</t>
  </si>
  <si>
    <t>Predicción NumPy</t>
  </si>
  <si>
    <t>Lat normalizada</t>
  </si>
  <si>
    <t>Validación</t>
  </si>
  <si>
    <t>Exactitud calculada Excel</t>
  </si>
  <si>
    <t>Media lon</t>
  </si>
  <si>
    <t>Lon normalizada</t>
  </si>
  <si>
    <t>Entrenamiento</t>
  </si>
  <si>
    <t>Desv lon</t>
  </si>
  <si>
    <t>Sesgo b1</t>
  </si>
  <si>
    <t>Semilla</t>
  </si>
  <si>
    <t>Capa 2 (4 → 8)</t>
  </si>
  <si>
    <t>Aprendizaje</t>
  </si>
  <si>
    <t>Neurona anterior</t>
  </si>
  <si>
    <t>N5</t>
  </si>
  <si>
    <t>N6</t>
  </si>
  <si>
    <t>N7</t>
  </si>
  <si>
    <t>N8</t>
  </si>
  <si>
    <t>Máx. diferencia |Excel-NumPy|</t>
  </si>
  <si>
    <t>H1</t>
  </si>
  <si>
    <t>Salida sigmoid</t>
  </si>
  <si>
    <t>0=NY, 1=Tokio</t>
  </si>
  <si>
    <t>H2</t>
  </si>
  <si>
    <t>H3</t>
  </si>
  <si>
    <t>H4</t>
  </si>
  <si>
    <t>Filas validadas (OK)</t>
  </si>
  <si>
    <t>Sesgo b2</t>
  </si>
  <si>
    <t>Capa 3 (8 → 1)</t>
  </si>
  <si>
    <t>Salida</t>
  </si>
  <si>
    <t>Resultado de validación</t>
  </si>
  <si>
    <t>H5</t>
  </si>
  <si>
    <t>H6</t>
  </si>
  <si>
    <t>H7</t>
  </si>
  <si>
    <t>H8</t>
  </si>
  <si>
    <t>Sesgo b3</t>
  </si>
  <si>
    <t>MÉTODO</t>
  </si>
  <si>
    <t>Las fórmulas de Validacion GPS reconstruyen cada capa (ReLU, ReLU y Sigmoide).</t>
  </si>
  <si>
    <t>Comparan 300 resultados de Excel con las probabilidades del modelo NumPy.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</si>
</sst>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00000"/>
    <numFmt numFmtId="165" formatCode="0.000000"/>
    <numFmt numFmtId="166" formatCode="0.000000000000"/>
  </numFmts>
  <fonts count="6">
    <font>
      <sz val="10.0"/>
      <color rgb="FF000000"/>
      <name val="Arial"/>
      <scheme val="minor"/>
    </font>
    <font>
      <b/>
      <sz val="10.0"/>
      <color rgb="FFFFFFFF"/>
      <name val="Arial"/>
    </font>
    <font>
      <b/>
      <sz val="15.0"/>
      <color rgb="FFFFFFFF"/>
      <name val="Arial"/>
    </font>
    <font>
      <color theme="1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46C79"/>
        <bgColor rgb="FF146C79"/>
      </patternFill>
    </fill>
    <fill>
      <patternFill patternType="solid">
        <fgColor rgb="FF143651"/>
        <bgColor rgb="FF143651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3" fontId="2" numFmtId="0" xfId="0" applyAlignment="1" applyFill="1" applyFont="1">
      <alignment shrinkToFit="0" vertical="bottom" wrapText="0"/>
    </xf>
    <xf borderId="0" fillId="0" fontId="3" numFmtId="0" xfId="0" applyFont="1"/>
    <xf borderId="0" fillId="0" fontId="4" numFmtId="0" xfId="0" applyAlignment="1" applyFon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5" numFmtId="10" xfId="0" applyAlignment="1" applyFont="1" applyNumberFormat="1">
      <alignment shrinkToFit="0" vertical="bottom" wrapText="0"/>
    </xf>
    <xf borderId="0" fillId="0" fontId="5" numFmtId="165" xfId="0" applyAlignment="1" applyFont="1" applyNumberFormat="1">
      <alignment shrinkToFit="0" vertical="bottom" wrapText="0"/>
    </xf>
    <xf borderId="0" fillId="2" fontId="1" numFmtId="164" xfId="0" applyAlignment="1" applyFill="1" applyFont="1" applyNumberFormat="1">
      <alignment shrinkToFit="0" vertical="bottom" wrapText="0"/>
    </xf>
    <xf borderId="0" fillId="0" fontId="5" numFmtId="166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9" width="14.0"/>
    <col customWidth="1" min="10" max="10" width="3.0"/>
    <col customWidth="1" min="11" max="12" width="21.0"/>
    <col customWidth="1" min="13" max="26" width="8.63"/>
  </cols>
  <sheetData>
    <row r="1" ht="33.0" customHeight="1">
      <c r="A1" s="2" t="s">
        <v>0</v>
      </c>
    </row>
    <row r="2">
      <c r="A2" s="3" t="s">
        <v>7</v>
      </c>
      <c r="K2" s="3" t="s">
        <v>13</v>
      </c>
    </row>
    <row r="3" ht="24.0" customHeight="1">
      <c r="K3" s="1" t="s">
        <v>19</v>
      </c>
      <c r="L3" s="1" t="s">
        <v>12</v>
      </c>
    </row>
    <row r="4">
      <c r="A4" s="4" t="s">
        <v>25</v>
      </c>
      <c r="K4" s="3" t="s">
        <v>31</v>
      </c>
      <c r="L4" s="5">
        <v>38.19437059</v>
      </c>
    </row>
    <row r="5" ht="24.0" customHeight="1">
      <c r="A5" s="1" t="s">
        <v>38</v>
      </c>
      <c r="B5" s="1" t="s">
        <v>40</v>
      </c>
      <c r="C5" s="1" t="s">
        <v>42</v>
      </c>
      <c r="D5" s="1" t="s">
        <v>44</v>
      </c>
      <c r="E5" s="1" t="s">
        <v>46</v>
      </c>
      <c r="K5" s="3" t="s">
        <v>48</v>
      </c>
      <c r="L5" s="5">
        <v>2.5176036318354433</v>
      </c>
    </row>
    <row r="6">
      <c r="A6" s="3" t="s">
        <v>50</v>
      </c>
      <c r="B6" s="5">
        <v>0.4422783250174401</v>
      </c>
      <c r="C6" s="5">
        <v>-1.0115052873350556</v>
      </c>
      <c r="D6" s="5">
        <v>0.7013868267336804</v>
      </c>
      <c r="E6" s="5">
        <v>1.1178469118899024</v>
      </c>
      <c r="F6" s="5"/>
      <c r="G6" s="5"/>
      <c r="H6" s="5"/>
      <c r="I6" s="5"/>
      <c r="K6" s="3" t="s">
        <v>53</v>
      </c>
      <c r="L6" s="5">
        <v>32.82090535</v>
      </c>
    </row>
    <row r="7">
      <c r="A7" s="3" t="s">
        <v>54</v>
      </c>
      <c r="B7" s="5">
        <v>-2.0886110738082353</v>
      </c>
      <c r="C7" s="5">
        <v>-1.3306595011489943</v>
      </c>
      <c r="D7" s="5">
        <v>0.17691003256510868</v>
      </c>
      <c r="E7" s="5">
        <v>-0.4935429892316886</v>
      </c>
      <c r="F7" s="5"/>
      <c r="G7" s="5"/>
      <c r="H7" s="5"/>
      <c r="I7" s="5"/>
      <c r="K7" s="3" t="s">
        <v>56</v>
      </c>
      <c r="L7" s="5">
        <v>106.82769908553553</v>
      </c>
    </row>
    <row r="8">
      <c r="A8" s="3" t="s">
        <v>57</v>
      </c>
      <c r="B8" s="5">
        <v>0.13757590364342379</v>
      </c>
      <c r="C8" s="5">
        <v>0.028480008474839915</v>
      </c>
      <c r="D8" s="5">
        <v>-0.04906961538816261</v>
      </c>
      <c r="E8" s="5">
        <v>0.1773004079455613</v>
      </c>
      <c r="F8" s="5"/>
      <c r="G8" s="5"/>
      <c r="H8" s="5"/>
      <c r="I8" s="5"/>
    </row>
    <row r="9">
      <c r="B9" s="5"/>
      <c r="C9" s="5"/>
      <c r="D9" s="5"/>
      <c r="E9" s="5"/>
      <c r="F9" s="5"/>
      <c r="G9" s="5"/>
      <c r="H9" s="5"/>
      <c r="I9" s="5"/>
      <c r="K9" s="3" t="s">
        <v>58</v>
      </c>
      <c r="L9" s="3">
        <v>42.0</v>
      </c>
    </row>
    <row r="10">
      <c r="B10" s="5"/>
      <c r="C10" s="5"/>
      <c r="D10" s="5"/>
      <c r="E10" s="5"/>
      <c r="F10" s="5"/>
      <c r="G10" s="5"/>
      <c r="H10" s="5"/>
      <c r="I10" s="5"/>
      <c r="K10" s="3" t="s">
        <v>32</v>
      </c>
      <c r="L10" s="3">
        <v>2000.0</v>
      </c>
    </row>
    <row r="11">
      <c r="A11" s="4" t="s">
        <v>59</v>
      </c>
      <c r="B11" s="5"/>
      <c r="C11" s="5"/>
      <c r="D11" s="5"/>
      <c r="E11" s="5"/>
      <c r="F11" s="5"/>
      <c r="G11" s="5"/>
      <c r="H11" s="5"/>
      <c r="I11" s="5"/>
      <c r="K11" s="3" t="s">
        <v>60</v>
      </c>
      <c r="L11" s="3">
        <v>0.1</v>
      </c>
    </row>
    <row r="12" ht="24.0" customHeight="1">
      <c r="A12" s="1" t="s">
        <v>61</v>
      </c>
      <c r="B12" s="8" t="s">
        <v>40</v>
      </c>
      <c r="C12" s="8" t="s">
        <v>42</v>
      </c>
      <c r="D12" s="8" t="s">
        <v>44</v>
      </c>
      <c r="E12" s="8" t="s">
        <v>46</v>
      </c>
      <c r="F12" s="8" t="s">
        <v>62</v>
      </c>
      <c r="G12" s="8" t="s">
        <v>63</v>
      </c>
      <c r="H12" s="8" t="s">
        <v>64</v>
      </c>
      <c r="I12" s="8" t="s">
        <v>65</v>
      </c>
    </row>
    <row r="13">
      <c r="A13" s="3" t="s">
        <v>67</v>
      </c>
      <c r="B13" s="5">
        <v>-0.01188021240306586</v>
      </c>
      <c r="C13" s="5">
        <v>-0.6031931458372846</v>
      </c>
      <c r="D13" s="5">
        <v>1.0038285149805652</v>
      </c>
      <c r="E13" s="5">
        <v>0.6618206142948421</v>
      </c>
      <c r="F13" s="5">
        <v>0.02603948290677484</v>
      </c>
      <c r="G13" s="5">
        <v>0.8064389831298931</v>
      </c>
      <c r="H13" s="5">
        <v>0.13214755019670701</v>
      </c>
      <c r="I13" s="5">
        <v>-0.6076115275272275</v>
      </c>
      <c r="K13" s="3" t="s">
        <v>68</v>
      </c>
      <c r="L13" s="3" t="s">
        <v>69</v>
      </c>
    </row>
    <row r="14">
      <c r="A14" s="3" t="s">
        <v>70</v>
      </c>
      <c r="B14" s="5">
        <v>0.26074617999259136</v>
      </c>
      <c r="C14" s="5">
        <v>-0.6780323894079786</v>
      </c>
      <c r="D14" s="5">
        <v>0.6662891742634591</v>
      </c>
      <c r="E14" s="5">
        <v>-0.02176686098736937</v>
      </c>
      <c r="F14" s="5">
        <v>-0.13306500426032156</v>
      </c>
      <c r="G14" s="5">
        <v>-0.4802217508280427</v>
      </c>
      <c r="H14" s="5">
        <v>0.8413955435257071</v>
      </c>
      <c r="I14" s="5">
        <v>-0.109268844664095</v>
      </c>
    </row>
    <row r="15">
      <c r="A15" s="3" t="s">
        <v>71</v>
      </c>
      <c r="B15" s="5">
        <v>-0.30287350762239873</v>
      </c>
      <c r="C15" s="5">
        <v>-0.24899602143352265</v>
      </c>
      <c r="D15" s="5">
        <v>0.45355859962618605</v>
      </c>
      <c r="E15" s="5">
        <v>0.27892644084066326</v>
      </c>
      <c r="F15" s="5">
        <v>0.28721005526464993</v>
      </c>
      <c r="G15" s="5">
        <v>0.30543873541693317</v>
      </c>
      <c r="H15" s="5">
        <v>1.4718514874237667</v>
      </c>
      <c r="I15" s="5">
        <v>-0.28737881406160354</v>
      </c>
    </row>
    <row r="16">
      <c r="A16" s="3" t="s">
        <v>72</v>
      </c>
      <c r="B16" s="5">
        <v>-0.36221030733998755</v>
      </c>
      <c r="C16" s="5">
        <v>-0.5754242144887519</v>
      </c>
      <c r="D16" s="5">
        <v>0.6760688321000669</v>
      </c>
      <c r="E16" s="5">
        <v>0.871134730300273</v>
      </c>
      <c r="F16" s="5">
        <v>-0.09300561617637408</v>
      </c>
      <c r="G16" s="5">
        <v>-0.5869287739631943</v>
      </c>
      <c r="H16" s="5">
        <v>-0.7050834898159486</v>
      </c>
      <c r="I16" s="5">
        <v>0.4600385720619069</v>
      </c>
    </row>
    <row r="17">
      <c r="A17" s="3" t="s">
        <v>74</v>
      </c>
      <c r="B17" s="5">
        <v>0.0</v>
      </c>
      <c r="C17" s="5">
        <v>0.0</v>
      </c>
      <c r="D17" s="5">
        <v>-2.2649303919222358E-4</v>
      </c>
      <c r="E17" s="5">
        <v>-7.920632063031799E-5</v>
      </c>
      <c r="F17" s="5">
        <v>-0.008960648155907558</v>
      </c>
      <c r="G17" s="5">
        <v>-4.1021495491065616E-5</v>
      </c>
      <c r="H17" s="5">
        <v>-0.08415444354307178</v>
      </c>
      <c r="I17" s="5">
        <v>0.0</v>
      </c>
    </row>
    <row r="20">
      <c r="A20" s="4" t="s">
        <v>75</v>
      </c>
    </row>
    <row r="21" ht="24.0" customHeight="1">
      <c r="A21" s="1" t="s">
        <v>61</v>
      </c>
      <c r="B21" s="1" t="s">
        <v>76</v>
      </c>
    </row>
    <row r="22" ht="15.75" customHeight="1">
      <c r="A22" s="3" t="s">
        <v>67</v>
      </c>
      <c r="B22" s="5">
        <v>0.37162708560172114</v>
      </c>
    </row>
    <row r="23" ht="15.75" customHeight="1">
      <c r="A23" s="3" t="s">
        <v>70</v>
      </c>
      <c r="B23" s="5">
        <v>0.2715771341525975</v>
      </c>
    </row>
    <row r="24" ht="15.75" customHeight="1">
      <c r="A24" s="3" t="s">
        <v>71</v>
      </c>
      <c r="B24" s="5">
        <v>-1.0596979511649474</v>
      </c>
    </row>
    <row r="25" ht="15.75" customHeight="1">
      <c r="A25" s="3" t="s">
        <v>72</v>
      </c>
      <c r="B25" s="5">
        <v>-0.5322571896255253</v>
      </c>
    </row>
    <row r="26" ht="15.75" customHeight="1">
      <c r="A26" s="3" t="s">
        <v>78</v>
      </c>
      <c r="B26" s="5">
        <v>0.04550441944153873</v>
      </c>
    </row>
    <row r="27" ht="15.75" customHeight="1">
      <c r="A27" s="3" t="s">
        <v>79</v>
      </c>
      <c r="B27" s="5">
        <v>-0.1350393402979945</v>
      </c>
    </row>
    <row r="28" ht="15.75" customHeight="1">
      <c r="A28" s="3" t="s">
        <v>80</v>
      </c>
      <c r="B28" s="5">
        <v>0.30959372165398724</v>
      </c>
    </row>
    <row r="29" ht="15.75" customHeight="1">
      <c r="A29" s="3" t="s">
        <v>81</v>
      </c>
      <c r="B29" s="5">
        <v>0.11179777438734113</v>
      </c>
    </row>
    <row r="30" ht="15.75" customHeight="1">
      <c r="A30" s="3" t="s">
        <v>82</v>
      </c>
      <c r="B30" s="5">
        <v>2.378071460123042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0"/>
    <col customWidth="1" min="2" max="2" width="16.0"/>
    <col customWidth="1" min="3" max="4" width="14.0"/>
    <col customWidth="1" min="5" max="6" width="16.0"/>
    <col customWidth="1" min="7" max="21" width="14.0"/>
    <col customWidth="1" min="22" max="22" width="17.0"/>
    <col customWidth="1" min="23" max="24" width="15.0"/>
    <col customWidth="1" min="25" max="25" width="18.0"/>
    <col customWidth="1" min="26" max="26" width="19.0"/>
    <col customWidth="1" min="27" max="27" width="16.0"/>
  </cols>
  <sheetData>
    <row r="1" ht="24.0" customHeight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14</v>
      </c>
      <c r="J1" s="1" t="s">
        <v>16</v>
      </c>
      <c r="K1" s="1" t="s">
        <v>17</v>
      </c>
      <c r="L1" s="1" t="s">
        <v>18</v>
      </c>
      <c r="M1" s="1" t="s">
        <v>21</v>
      </c>
      <c r="N1" s="1" t="s">
        <v>22</v>
      </c>
      <c r="O1" s="1" t="s">
        <v>24</v>
      </c>
      <c r="P1" s="1" t="s">
        <v>27</v>
      </c>
      <c r="Q1" s="1" t="s">
        <v>29</v>
      </c>
      <c r="R1" s="1" t="s">
        <v>30</v>
      </c>
      <c r="S1" s="1" t="s">
        <v>33</v>
      </c>
      <c r="T1" s="1" t="s">
        <v>35</v>
      </c>
      <c r="U1" s="1" t="s">
        <v>36</v>
      </c>
      <c r="V1" s="1" t="s">
        <v>39</v>
      </c>
      <c r="W1" s="1" t="s">
        <v>41</v>
      </c>
      <c r="X1" s="1" t="s">
        <v>45</v>
      </c>
      <c r="Y1" s="1" t="s">
        <v>47</v>
      </c>
      <c r="Z1" s="1" t="s">
        <v>49</v>
      </c>
      <c r="AA1" s="1" t="s">
        <v>51</v>
      </c>
    </row>
    <row r="2">
      <c r="A2" s="3">
        <v>1.0</v>
      </c>
      <c r="B2" s="3" t="s">
        <v>15</v>
      </c>
      <c r="C2" s="7">
        <v>40.718285</v>
      </c>
      <c r="D2" s="7">
        <v>-74.009966</v>
      </c>
      <c r="E2" s="3">
        <v>0.0</v>
      </c>
      <c r="F2" s="3" t="s">
        <v>55</v>
      </c>
      <c r="G2" s="5">
        <f>(C2-'Pesos GPS'!$L$4)/'Pesos GPS'!$L$5</f>
        <v>1.002506661</v>
      </c>
      <c r="H2" s="5">
        <f>(D2-'Pesos GPS'!$L$6)/'Pesos GPS'!$L$7</f>
        <v>-1.000029695</v>
      </c>
      <c r="I2" s="5">
        <f>MAX(0,G2*'Pesos GPS'!B$6+H2*'Pesos GPS'!B$7+'Pesos GPS'!B$8)</f>
        <v>2.669635966</v>
      </c>
      <c r="J2" s="5">
        <f>MAX(0,G2*'Pesos GPS'!C$6+H2*'Pesos GPS'!C$7+'Pesos GPS'!C$8)</f>
        <v>0.3451382358</v>
      </c>
      <c r="K2" s="5">
        <f>MAX(0,G2*'Pesos GPS'!D$6+H2*'Pesos GPS'!D$7+'Pesos GPS'!D$8)</f>
        <v>0.4771600642</v>
      </c>
      <c r="L2" s="5">
        <f>MAX(0,G2*'Pesos GPS'!E$6+H2*'Pesos GPS'!E$7+'Pesos GPS'!E$8)</f>
        <v>1.791507028</v>
      </c>
      <c r="M2" s="5">
        <f>MAX(0,I2*'Pesos GPS'!B$13+J2*'Pesos GPS'!B$14+K2*'Pesos GPS'!B$15+L2*'Pesos GPS'!B$16+'Pesos GPS'!B$17)</f>
        <v>0</v>
      </c>
      <c r="N2" s="5">
        <f>MAX(0,I2*'Pesos GPS'!C$13+J2*'Pesos GPS'!C$14+K2*'Pesos GPS'!C$15+L2*'Pesos GPS'!C$16+'Pesos GPS'!C$17)</f>
        <v>0</v>
      </c>
      <c r="O2" s="5">
        <f>MAX(0,I2*'Pesos GPS'!D$13+J2*'Pesos GPS'!D$14+K2*'Pesos GPS'!D$15+L2*'Pesos GPS'!D$16+'Pesos GPS'!D$17)</f>
        <v>4.337194199</v>
      </c>
      <c r="P2" s="5">
        <f>MAX(0,I2*'Pesos GPS'!E$13+J2*'Pesos GPS'!E$14+K2*'Pesos GPS'!E$15+L2*'Pesos GPS'!E$16+'Pesos GPS'!E$17)</f>
        <v>3.452964882</v>
      </c>
      <c r="Q2" s="5">
        <f>MAX(0,I2*'Pesos GPS'!F$13+J2*'Pesos GPS'!F$14+K2*'Pesos GPS'!F$15+L2*'Pesos GPS'!F$16+'Pesos GPS'!F$17)</f>
        <v>0</v>
      </c>
      <c r="R2" s="5">
        <f>MAX(0,I2*'Pesos GPS'!G$13+J2*'Pesos GPS'!G$14+K2*'Pesos GPS'!G$15+L2*'Pesos GPS'!G$16+'Pesos GPS'!G$17)</f>
        <v>1.081370747</v>
      </c>
      <c r="S2" s="5">
        <f>MAX(0,I2*'Pesos GPS'!H$13+J2*'Pesos GPS'!H$14+K2*'Pesos GPS'!H$15+L2*'Pesos GPS'!H$16+'Pesos GPS'!H$17)</f>
        <v>0</v>
      </c>
      <c r="T2" s="5">
        <f>MAX(0,I2*'Pesos GPS'!I$13+J2*'Pesos GPS'!I$14+K2*'Pesos GPS'!I$15+L2*'Pesos GPS'!I$16+'Pesos GPS'!I$17)</f>
        <v>0</v>
      </c>
      <c r="U2" s="5">
        <f>M2*'Pesos GPS'!$B$22+N2*'Pesos GPS'!$B$23+O2*'Pesos GPS'!$B$24+P2*'Pesos GPS'!$B$25+Q2*'Pesos GPS'!$B$26+R2*'Pesos GPS'!$B$27+S2*'Pesos GPS'!$B$28+T2*'Pesos GPS'!$B$29+'Pesos GPS'!$B$30</f>
        <v>-4.201937323</v>
      </c>
      <c r="V2" s="5">
        <f t="shared" ref="V2:V301" si="1">1/(1+EXP(-U2))</f>
        <v>0.01474585898</v>
      </c>
      <c r="W2" s="3">
        <f t="shared" ref="W2:W301" si="2">IF(V2&gt;=0.5,1,0)</f>
        <v>0</v>
      </c>
      <c r="X2" s="3">
        <f t="shared" ref="X2:X301" si="3">IF(W2=E2,1,0)</f>
        <v>1</v>
      </c>
      <c r="Y2" s="9">
        <f t="shared" ref="Y2:Y301" si="4">ABS(V2-Z2)</f>
        <v>0</v>
      </c>
      <c r="Z2" s="9">
        <v>0.014745858982233321</v>
      </c>
      <c r="AA2" s="3" t="str">
        <f t="shared" ref="AA2:AA301" si="5">IF(Y2&lt;0.00000001,"OK","REVISAR")</f>
        <v>OK</v>
      </c>
    </row>
    <row r="3">
      <c r="A3" s="3">
        <v>2.0</v>
      </c>
      <c r="B3" s="3" t="s">
        <v>15</v>
      </c>
      <c r="C3" s="7">
        <v>40.69408</v>
      </c>
      <c r="D3" s="7">
        <v>-74.031891</v>
      </c>
      <c r="E3" s="3">
        <v>0.0</v>
      </c>
      <c r="F3" s="3" t="s">
        <v>55</v>
      </c>
      <c r="G3" s="5">
        <f>(C3-'Pesos GPS'!$L$4)/'Pesos GPS'!$L$5</f>
        <v>0.9928923594</v>
      </c>
      <c r="H3" s="5">
        <f>(D3-'Pesos GPS'!$L$6)/'Pesos GPS'!$L$7</f>
        <v>-1.000234932</v>
      </c>
      <c r="I3" s="5">
        <f>MAX(0,G3*'Pesos GPS'!B$6+H3*'Pesos GPS'!B$7+'Pesos GPS'!B$8)</f>
        <v>2.665812429</v>
      </c>
      <c r="J3" s="5">
        <f>MAX(0,G3*'Pesos GPS'!C$6+H3*'Pesos GPS'!C$7+'Pesos GPS'!C$8)</f>
        <v>0.3551362531</v>
      </c>
      <c r="K3" s="5">
        <f>MAX(0,G3*'Pesos GPS'!D$6+H3*'Pesos GPS'!D$7+'Pesos GPS'!D$8)</f>
        <v>0.4703804114</v>
      </c>
      <c r="L3" s="5">
        <f>MAX(0,G3*'Pesos GPS'!E$6+H3*'Pesos GPS'!E$7+'Pesos GPS'!E$8)</f>
        <v>1.780861004</v>
      </c>
      <c r="M3" s="5">
        <f>MAX(0,I3*'Pesos GPS'!B$13+J3*'Pesos GPS'!B$14+K3*'Pesos GPS'!B$15+L3*'Pesos GPS'!B$16+'Pesos GPS'!B$17)</f>
        <v>0</v>
      </c>
      <c r="N3" s="5">
        <f>MAX(0,I3*'Pesos GPS'!C$13+J3*'Pesos GPS'!C$14+K3*'Pesos GPS'!C$15+L3*'Pesos GPS'!C$16+'Pesos GPS'!C$17)</f>
        <v>0</v>
      </c>
      <c r="O3" s="5">
        <f>MAX(0,I3*'Pesos GPS'!D$13+J3*'Pesos GPS'!D$14+K3*'Pesos GPS'!D$15+L3*'Pesos GPS'!D$16+'Pesos GPS'!D$17)</f>
        <v>4.32974518</v>
      </c>
      <c r="P3" s="5">
        <f>MAX(0,I3*'Pesos GPS'!E$13+J3*'Pesos GPS'!E$14+K3*'Pesos GPS'!E$15+L3*'Pesos GPS'!E$16+'Pesos GPS'!E$17)</f>
        <v>3.439051616</v>
      </c>
      <c r="Q3" s="5">
        <f>MAX(0,I3*'Pesos GPS'!F$13+J3*'Pesos GPS'!F$14+K3*'Pesos GPS'!F$15+L3*'Pesos GPS'!F$16+'Pesos GPS'!F$17)</f>
        <v>0</v>
      </c>
      <c r="R3" s="5">
        <f>MAX(0,I3*'Pesos GPS'!G$13+J3*'Pesos GPS'!G$14+K3*'Pesos GPS'!G$15+L3*'Pesos GPS'!G$16+'Pesos GPS'!G$17)</f>
        <v>1.077663722</v>
      </c>
      <c r="S3" s="5">
        <f>MAX(0,I3*'Pesos GPS'!H$13+J3*'Pesos GPS'!H$14+K3*'Pesos GPS'!H$15+L3*'Pesos GPS'!H$16+'Pesos GPS'!H$17)</f>
        <v>0.003610615507</v>
      </c>
      <c r="T3" s="5">
        <f>MAX(0,I3*'Pesos GPS'!I$13+J3*'Pesos GPS'!I$14+K3*'Pesos GPS'!I$15+L3*'Pesos GPS'!I$16+'Pesos GPS'!I$17)</f>
        <v>0</v>
      </c>
      <c r="U3" s="5">
        <f>M3*'Pesos GPS'!$B$22+N3*'Pesos GPS'!$B$23+O3*'Pesos GPS'!$B$24+P3*'Pesos GPS'!$B$25+Q3*'Pesos GPS'!$B$26+R3*'Pesos GPS'!$B$27+S3*'Pesos GPS'!$B$28+T3*'Pesos GPS'!$B$29+'Pesos GPS'!$B$30</f>
        <v>-4.185019758</v>
      </c>
      <c r="V3" s="5">
        <f t="shared" si="1"/>
        <v>0.01499367292</v>
      </c>
      <c r="W3" s="3">
        <f t="shared" si="2"/>
        <v>0</v>
      </c>
      <c r="X3" s="3">
        <f t="shared" si="3"/>
        <v>1</v>
      </c>
      <c r="Y3" s="9">
        <f t="shared" si="4"/>
        <v>0</v>
      </c>
      <c r="Z3" s="9">
        <v>0.014993672916692973</v>
      </c>
      <c r="AA3" s="3" t="str">
        <f t="shared" si="5"/>
        <v>OK</v>
      </c>
    </row>
    <row r="4">
      <c r="A4" s="3">
        <v>3.0</v>
      </c>
      <c r="B4" s="3" t="s">
        <v>15</v>
      </c>
      <c r="C4" s="7">
        <v>40.726308</v>
      </c>
      <c r="D4" s="7">
        <v>-74.047867</v>
      </c>
      <c r="E4" s="3">
        <v>0.0</v>
      </c>
      <c r="F4" s="3" t="s">
        <v>55</v>
      </c>
      <c r="G4" s="5">
        <f>(C4-'Pesos GPS'!$L$4)/'Pesos GPS'!$L$5</f>
        <v>1.005693421</v>
      </c>
      <c r="H4" s="5">
        <f>(D4-'Pesos GPS'!$L$6)/'Pesos GPS'!$L$7</f>
        <v>-1.000384481</v>
      </c>
      <c r="I4" s="5">
        <f>MAX(0,G4*'Pesos GPS'!B$6+H4*'Pesos GPS'!B$7+'Pesos GPS'!B$8)</f>
        <v>2.671786411</v>
      </c>
      <c r="J4" s="5">
        <f>MAX(0,G4*'Pesos GPS'!C$6+H4*'Pesos GPS'!C$7+'Pesos GPS'!C$8)</f>
        <v>0.3423869104</v>
      </c>
      <c r="K4" s="5">
        <f>MAX(0,G4*'Pesos GPS'!D$6+H4*'Pesos GPS'!D$7+'Pesos GPS'!D$8)</f>
        <v>0.4793324509</v>
      </c>
      <c r="L4" s="5">
        <f>MAX(0,G4*'Pesos GPS'!E$6+H4*'Pesos GPS'!E$7+'Pesos GPS'!E$8)</f>
        <v>1.795244441</v>
      </c>
      <c r="M4" s="5">
        <f>MAX(0,I4*'Pesos GPS'!B$13+J4*'Pesos GPS'!B$14+K4*'Pesos GPS'!B$15+L4*'Pesos GPS'!B$16+'Pesos GPS'!B$17)</f>
        <v>0</v>
      </c>
      <c r="N4" s="5">
        <f>MAX(0,I4*'Pesos GPS'!C$13+J4*'Pesos GPS'!C$14+K4*'Pesos GPS'!C$15+L4*'Pesos GPS'!C$16+'Pesos GPS'!C$17)</f>
        <v>0</v>
      </c>
      <c r="O4" s="5">
        <f>MAX(0,I4*'Pesos GPS'!D$13+J4*'Pesos GPS'!D$14+K4*'Pesos GPS'!D$15+L4*'Pesos GPS'!D$16+'Pesos GPS'!D$17)</f>
        <v>4.341031752</v>
      </c>
      <c r="P4" s="5">
        <f>MAX(0,I4*'Pesos GPS'!E$13+J4*'Pesos GPS'!E$14+K4*'Pesos GPS'!E$15+L4*'Pesos GPS'!E$16+'Pesos GPS'!E$17)</f>
        <v>3.458309706</v>
      </c>
      <c r="Q4" s="5">
        <f>MAX(0,I4*'Pesos GPS'!F$13+J4*'Pesos GPS'!F$14+K4*'Pesos GPS'!F$15+L4*'Pesos GPS'!F$16+'Pesos GPS'!F$17)</f>
        <v>0</v>
      </c>
      <c r="R4" s="5">
        <f>MAX(0,I4*'Pesos GPS'!G$13+J4*'Pesos GPS'!G$14+K4*'Pesos GPS'!G$15+L4*'Pesos GPS'!G$16+'Pesos GPS'!G$17)</f>
        <v>1.082896133</v>
      </c>
      <c r="S4" s="5">
        <f>MAX(0,I4*'Pesos GPS'!H$13+J4*'Pesos GPS'!H$14+K4*'Pesos GPS'!H$15+L4*'Pesos GPS'!H$16+'Pesos GPS'!H$17)</f>
        <v>0</v>
      </c>
      <c r="T4" s="5">
        <f>MAX(0,I4*'Pesos GPS'!I$13+J4*'Pesos GPS'!I$14+K4*'Pesos GPS'!I$15+L4*'Pesos GPS'!I$16+'Pesos GPS'!I$17)</f>
        <v>0</v>
      </c>
      <c r="U4" s="5">
        <f>M4*'Pesos GPS'!$B$22+N4*'Pesos GPS'!$B$23+O4*'Pesos GPS'!$B$24+P4*'Pesos GPS'!$B$25+Q4*'Pesos GPS'!$B$26+R4*'Pesos GPS'!$B$27+S4*'Pesos GPS'!$B$28+T4*'Pesos GPS'!$B$29+'Pesos GPS'!$B$30</f>
        <v>-4.209054778</v>
      </c>
      <c r="V4" s="5">
        <f t="shared" si="1"/>
        <v>0.01464280996</v>
      </c>
      <c r="W4" s="3">
        <f t="shared" si="2"/>
        <v>0</v>
      </c>
      <c r="X4" s="3">
        <f t="shared" si="3"/>
        <v>1</v>
      </c>
      <c r="Y4" s="9">
        <f t="shared" si="4"/>
        <v>0</v>
      </c>
      <c r="Z4" s="9">
        <v>0.014642809962076897</v>
      </c>
      <c r="AA4" s="3" t="str">
        <f t="shared" si="5"/>
        <v>OK</v>
      </c>
    </row>
    <row r="5">
      <c r="A5" s="3">
        <v>4.0</v>
      </c>
      <c r="B5" s="3" t="s">
        <v>15</v>
      </c>
      <c r="C5" s="7">
        <v>40.72973</v>
      </c>
      <c r="D5" s="7">
        <v>-74.018158</v>
      </c>
      <c r="E5" s="3">
        <v>0.0</v>
      </c>
      <c r="F5" s="3" t="s">
        <v>55</v>
      </c>
      <c r="G5" s="5">
        <f>(C5-'Pesos GPS'!$L$4)/'Pesos GPS'!$L$5</f>
        <v>1.00705265</v>
      </c>
      <c r="H5" s="5">
        <f>(D5-'Pesos GPS'!$L$6)/'Pesos GPS'!$L$7</f>
        <v>-1.000106379</v>
      </c>
      <c r="I5" s="5">
        <f>MAX(0,G5*'Pesos GPS'!B$6+H5*'Pesos GPS'!B$7+'Pesos GPS'!B$8)</f>
        <v>2.671806722</v>
      </c>
      <c r="J5" s="5">
        <f>MAX(0,G5*'Pesos GPS'!C$6+H5*'Pesos GPS'!C$7+'Pesos GPS'!C$8)</f>
        <v>0.3406419839</v>
      </c>
      <c r="K5" s="5">
        <f>MAX(0,G5*'Pesos GPS'!D$6+H5*'Pesos GPS'!D$7+'Pesos GPS'!D$8)</f>
        <v>0.4803349953</v>
      </c>
      <c r="L5" s="5">
        <f>MAX(0,G5*'Pesos GPS'!E$6+H5*'Pesos GPS'!E$7+'Pesos GPS'!E$8)</f>
        <v>1.796626595</v>
      </c>
      <c r="M5" s="5">
        <f>MAX(0,I5*'Pesos GPS'!B$13+J5*'Pesos GPS'!B$14+K5*'Pesos GPS'!B$15+L5*'Pesos GPS'!B$16+'Pesos GPS'!B$17)</f>
        <v>0</v>
      </c>
      <c r="N5" s="5">
        <f>MAX(0,I5*'Pesos GPS'!C$13+J5*'Pesos GPS'!C$14+K5*'Pesos GPS'!C$15+L5*'Pesos GPS'!C$16+'Pesos GPS'!C$17)</f>
        <v>0</v>
      </c>
      <c r="O5" s="5">
        <f>MAX(0,I5*'Pesos GPS'!D$13+J5*'Pesos GPS'!D$14+K5*'Pesos GPS'!D$15+L5*'Pesos GPS'!D$16+'Pesos GPS'!D$17)</f>
        <v>4.341278659</v>
      </c>
      <c r="P5" s="5">
        <f>MAX(0,I5*'Pesos GPS'!E$13+J5*'Pesos GPS'!E$14+K5*'Pesos GPS'!E$15+L5*'Pesos GPS'!E$16+'Pesos GPS'!E$17)</f>
        <v>3.459844808</v>
      </c>
      <c r="Q5" s="5">
        <f>MAX(0,I5*'Pesos GPS'!F$13+J5*'Pesos GPS'!F$14+K5*'Pesos GPS'!F$15+L5*'Pesos GPS'!F$16+'Pesos GPS'!F$17)</f>
        <v>0</v>
      </c>
      <c r="R5" s="5">
        <f>MAX(0,I5*'Pesos GPS'!G$13+J5*'Pesos GPS'!G$14+K5*'Pesos GPS'!G$15+L5*'Pesos GPS'!G$16+'Pesos GPS'!G$17)</f>
        <v>1.083245453</v>
      </c>
      <c r="S5" s="5">
        <f>MAX(0,I5*'Pesos GPS'!H$13+J5*'Pesos GPS'!H$14+K5*'Pesos GPS'!H$15+L5*'Pesos GPS'!H$16+'Pesos GPS'!H$17)</f>
        <v>0</v>
      </c>
      <c r="T5" s="5">
        <f>MAX(0,I5*'Pesos GPS'!I$13+J5*'Pesos GPS'!I$14+K5*'Pesos GPS'!I$15+L5*'Pesos GPS'!I$16+'Pesos GPS'!I$17)</f>
        <v>0</v>
      </c>
      <c r="U5" s="5">
        <f>M5*'Pesos GPS'!$B$22+N5*'Pesos GPS'!$B$23+O5*'Pesos GPS'!$B$24+P5*'Pesos GPS'!$B$25+Q5*'Pesos GPS'!$B$26+R5*'Pesos GPS'!$B$27+S5*'Pesos GPS'!$B$28+T5*'Pesos GPS'!$B$29+'Pesos GPS'!$B$30</f>
        <v>-4.210180666</v>
      </c>
      <c r="V5" s="5">
        <f t="shared" si="1"/>
        <v>0.01462657407</v>
      </c>
      <c r="W5" s="3">
        <f t="shared" si="2"/>
        <v>0</v>
      </c>
      <c r="X5" s="3">
        <f t="shared" si="3"/>
        <v>1</v>
      </c>
      <c r="Y5" s="9">
        <f t="shared" si="4"/>
        <v>0</v>
      </c>
      <c r="Z5" s="9">
        <v>0.014626574071574529</v>
      </c>
      <c r="AA5" s="3" t="str">
        <f t="shared" si="5"/>
        <v>OK</v>
      </c>
    </row>
    <row r="6">
      <c r="A6" s="3">
        <v>5.0</v>
      </c>
      <c r="B6" s="3" t="s">
        <v>15</v>
      </c>
      <c r="C6" s="7">
        <v>40.677681</v>
      </c>
      <c r="D6" s="7">
        <v>-74.007345</v>
      </c>
      <c r="E6" s="3">
        <v>0.0</v>
      </c>
      <c r="F6" s="3" t="s">
        <v>55</v>
      </c>
      <c r="G6" s="5">
        <f>(C6-'Pesos GPS'!$L$4)/'Pesos GPS'!$L$5</f>
        <v>0.9863786255</v>
      </c>
      <c r="H6" s="5">
        <f>(D6-'Pesos GPS'!$L$6)/'Pesos GPS'!$L$7</f>
        <v>-1.00000516</v>
      </c>
      <c r="I6" s="5">
        <f>MAX(0,G6*'Pesos GPS'!B$6+H6*'Pesos GPS'!B$7+'Pesos GPS'!B$8)</f>
        <v>2.662451642</v>
      </c>
      <c r="J6" s="5">
        <f>MAX(0,G6*'Pesos GPS'!C$6+H6*'Pesos GPS'!C$7+'Pesos GPS'!C$8)</f>
        <v>0.3614191812</v>
      </c>
      <c r="K6" s="5">
        <f>MAX(0,G6*'Pesos GPS'!D$6+H6*'Pesos GPS'!D$7+'Pesos GPS'!D$8)</f>
        <v>0.4658524133</v>
      </c>
      <c r="L6" s="5">
        <f>MAX(0,G6*'Pesos GPS'!E$6+H6*'Pesos GPS'!E$7+'Pesos GPS'!E$8)</f>
        <v>1.773466245</v>
      </c>
      <c r="M6" s="5">
        <f>MAX(0,I6*'Pesos GPS'!B$13+J6*'Pesos GPS'!B$14+K6*'Pesos GPS'!B$15+L6*'Pesos GPS'!B$16+'Pesos GPS'!B$17)</f>
        <v>0</v>
      </c>
      <c r="N6" s="5">
        <f>MAX(0,I6*'Pesos GPS'!C$13+J6*'Pesos GPS'!C$14+K6*'Pesos GPS'!C$15+L6*'Pesos GPS'!C$16+'Pesos GPS'!C$17)</f>
        <v>0</v>
      </c>
      <c r="O6" s="5">
        <f>MAX(0,I6*'Pesos GPS'!D$13+J6*'Pesos GPS'!D$14+K6*'Pesos GPS'!D$15+L6*'Pesos GPS'!D$16+'Pesos GPS'!D$17)</f>
        <v>4.323504693</v>
      </c>
      <c r="P6" s="5">
        <f>MAX(0,I6*'Pesos GPS'!E$13+J6*'Pesos GPS'!E$14+K6*'Pesos GPS'!E$15+L6*'Pesos GPS'!E$16+'Pesos GPS'!E$17)</f>
        <v>3.428985808</v>
      </c>
      <c r="Q6" s="5">
        <f>MAX(0,I6*'Pesos GPS'!F$13+J6*'Pesos GPS'!F$14+K6*'Pesos GPS'!F$15+L6*'Pesos GPS'!F$16+'Pesos GPS'!F$17)</f>
        <v>0</v>
      </c>
      <c r="R6" s="5">
        <f>MAX(0,I6*'Pesos GPS'!G$13+J6*'Pesos GPS'!G$14+K6*'Pesos GPS'!G$15+L6*'Pesos GPS'!G$16+'Pesos GPS'!G$17)</f>
        <v>1.074893425</v>
      </c>
      <c r="S6" s="5">
        <f>MAX(0,I6*'Pesos GPS'!H$13+J6*'Pesos GPS'!H$14+K6*'Pesos GPS'!H$15+L6*'Pesos GPS'!H$16+'Pesos GPS'!H$17)</f>
        <v>0.007002305446</v>
      </c>
      <c r="T6" s="5">
        <f>MAX(0,I6*'Pesos GPS'!I$13+J6*'Pesos GPS'!I$14+K6*'Pesos GPS'!I$15+L6*'Pesos GPS'!I$16+'Pesos GPS'!I$17)</f>
        <v>0</v>
      </c>
      <c r="U6" s="5">
        <f>M6*'Pesos GPS'!$B$22+N6*'Pesos GPS'!$B$23+O6*'Pesos GPS'!$B$24+P6*'Pesos GPS'!$B$25+Q6*'Pesos GPS'!$B$26+R6*'Pesos GPS'!$B$27+S6*'Pesos GPS'!$B$28+T6*'Pesos GPS'!$B$29+'Pesos GPS'!$B$30</f>
        <v>-4.171624984</v>
      </c>
      <c r="V6" s="5">
        <f t="shared" si="1"/>
        <v>0.01519278909</v>
      </c>
      <c r="W6" s="3">
        <f t="shared" si="2"/>
        <v>0</v>
      </c>
      <c r="X6" s="3">
        <f t="shared" si="3"/>
        <v>1</v>
      </c>
      <c r="Y6" s="9">
        <f t="shared" si="4"/>
        <v>0</v>
      </c>
      <c r="Z6" s="9">
        <v>0.015192789090279674</v>
      </c>
      <c r="AA6" s="3" t="str">
        <f t="shared" si="5"/>
        <v>OK</v>
      </c>
    </row>
    <row r="7">
      <c r="A7" s="3">
        <v>6.0</v>
      </c>
      <c r="B7" s="3" t="s">
        <v>15</v>
      </c>
      <c r="C7" s="7">
        <v>40.689361</v>
      </c>
      <c r="D7" s="7">
        <v>-73.961802</v>
      </c>
      <c r="E7" s="3">
        <v>0.0</v>
      </c>
      <c r="F7" s="3" t="s">
        <v>55</v>
      </c>
      <c r="G7" s="5">
        <f>(C7-'Pesos GPS'!$L$4)/'Pesos GPS'!$L$5</f>
        <v>0.9910179579</v>
      </c>
      <c r="H7" s="5">
        <f>(D7-'Pesos GPS'!$L$6)/'Pesos GPS'!$L$7</f>
        <v>-0.9995788383</v>
      </c>
      <c r="I7" s="5">
        <f>MAX(0,G7*'Pesos GPS'!B$6+H7*'Pesos GPS'!B$7+'Pesos GPS'!B$8)</f>
        <v>2.663613097</v>
      </c>
      <c r="J7" s="5">
        <f>MAX(0,G7*'Pesos GPS'!C$6+H7*'Pesos GPS'!C$7+'Pesos GPS'!C$8)</f>
        <v>0.3561591826</v>
      </c>
      <c r="K7" s="5">
        <f>MAX(0,G7*'Pesos GPS'!D$6+H7*'Pesos GPS'!D$7+'Pesos GPS'!D$8)</f>
        <v>0.4691818005</v>
      </c>
      <c r="L7" s="5">
        <f>MAX(0,G7*'Pesos GPS'!E$6+H7*'Pesos GPS'!E$7+'Pesos GPS'!E$8)</f>
        <v>1.7784419</v>
      </c>
      <c r="M7" s="5">
        <f>MAX(0,I7*'Pesos GPS'!B$13+J7*'Pesos GPS'!B$14+K7*'Pesos GPS'!B$15+L7*'Pesos GPS'!B$16+'Pesos GPS'!B$17)</f>
        <v>0</v>
      </c>
      <c r="N7" s="5">
        <f>MAX(0,I7*'Pesos GPS'!C$13+J7*'Pesos GPS'!C$14+K7*'Pesos GPS'!C$15+L7*'Pesos GPS'!C$16+'Pesos GPS'!C$17)</f>
        <v>0</v>
      </c>
      <c r="O7" s="5">
        <f>MAX(0,I7*'Pesos GPS'!D$13+J7*'Pesos GPS'!D$14+K7*'Pesos GPS'!D$15+L7*'Pesos GPS'!D$16+'Pesos GPS'!D$17)</f>
        <v>4.326039873</v>
      </c>
      <c r="P7" s="5">
        <f>MAX(0,I7*'Pesos GPS'!E$13+J7*'Pesos GPS'!E$14+K7*'Pesos GPS'!E$15+L7*'Pesos GPS'!E$16+'Pesos GPS'!E$17)</f>
        <v>3.435132097</v>
      </c>
      <c r="Q7" s="5">
        <f>MAX(0,I7*'Pesos GPS'!F$13+J7*'Pesos GPS'!F$14+K7*'Pesos GPS'!F$15+L7*'Pesos GPS'!F$16+'Pesos GPS'!F$17)</f>
        <v>0</v>
      </c>
      <c r="R7" s="5">
        <f>MAX(0,I7*'Pesos GPS'!G$13+J7*'Pesos GPS'!G$14+K7*'Pesos GPS'!G$15+L7*'Pesos GPS'!G$16+'Pesos GPS'!G$17)</f>
        <v>1.076452602</v>
      </c>
      <c r="S7" s="5">
        <f>MAX(0,I7*'Pesos GPS'!H$13+J7*'Pesos GPS'!H$14+K7*'Pesos GPS'!H$15+L7*'Pesos GPS'!H$16+'Pesos GPS'!H$17)</f>
        <v>0.004122160786</v>
      </c>
      <c r="T7" s="5">
        <f>MAX(0,I7*'Pesos GPS'!I$13+J7*'Pesos GPS'!I$14+K7*'Pesos GPS'!I$15+L7*'Pesos GPS'!I$16+'Pesos GPS'!I$17)</f>
        <v>0</v>
      </c>
      <c r="U7" s="5">
        <f>M7*'Pesos GPS'!$B$22+N7*'Pesos GPS'!$B$23+O7*'Pesos GPS'!$B$24+P7*'Pesos GPS'!$B$25+Q7*'Pesos GPS'!$B$26+R7*'Pesos GPS'!$B$27+S7*'Pesos GPS'!$B$28+T7*'Pesos GPS'!$B$29+'Pesos GPS'!$B$30</f>
        <v>-4.178685139</v>
      </c>
      <c r="V7" s="5">
        <f t="shared" si="1"/>
        <v>0.01508751603</v>
      </c>
      <c r="W7" s="3">
        <f t="shared" si="2"/>
        <v>0</v>
      </c>
      <c r="X7" s="3">
        <f t="shared" si="3"/>
        <v>1</v>
      </c>
      <c r="Y7" s="9">
        <f t="shared" si="4"/>
        <v>0</v>
      </c>
      <c r="Z7" s="9">
        <v>0.015087516032387917</v>
      </c>
      <c r="AA7" s="3" t="str">
        <f t="shared" si="5"/>
        <v>OK</v>
      </c>
    </row>
    <row r="8">
      <c r="A8" s="3">
        <v>7.0</v>
      </c>
      <c r="B8" s="3" t="s">
        <v>15</v>
      </c>
      <c r="C8" s="7">
        <v>40.715101</v>
      </c>
      <c r="D8" s="7">
        <v>-74.002743</v>
      </c>
      <c r="E8" s="3">
        <v>0.0</v>
      </c>
      <c r="F8" s="3" t="s">
        <v>55</v>
      </c>
      <c r="G8" s="5">
        <f>(C8-'Pesos GPS'!$L$4)/'Pesos GPS'!$L$5</f>
        <v>1.001241966</v>
      </c>
      <c r="H8" s="5">
        <f>(D8-'Pesos GPS'!$L$6)/'Pesos GPS'!$L$7</f>
        <v>-0.9999620816</v>
      </c>
      <c r="I8" s="5">
        <f>MAX(0,G8*'Pesos GPS'!B$6+H8*'Pesos GPS'!B$7+'Pesos GPS'!B$8)</f>
        <v>2.6689354</v>
      </c>
      <c r="J8" s="5">
        <f>MAX(0,G8*'Pesos GPS'!C$6+H8*'Pesos GPS'!C$7+'Pesos GPS'!C$8)</f>
        <v>0.3463275106</v>
      </c>
      <c r="K8" s="5">
        <f>MAX(0,G8*'Pesos GPS'!D$6+H8*'Pesos GPS'!D$7+'Pesos GPS'!D$8)</f>
        <v>0.4762849855</v>
      </c>
      <c r="L8" s="5">
        <f>MAX(0,G8*'Pesos GPS'!E$6+H8*'Pesos GPS'!E$7+'Pesos GPS'!E$8)</f>
        <v>1.790059923</v>
      </c>
      <c r="M8" s="5">
        <f>MAX(0,I8*'Pesos GPS'!B$13+J8*'Pesos GPS'!B$14+K8*'Pesos GPS'!B$15+L8*'Pesos GPS'!B$16+'Pesos GPS'!B$17)</f>
        <v>0</v>
      </c>
      <c r="N8" s="5">
        <f>MAX(0,I8*'Pesos GPS'!C$13+J8*'Pesos GPS'!C$14+K8*'Pesos GPS'!C$15+L8*'Pesos GPS'!C$16+'Pesos GPS'!C$17)</f>
        <v>0</v>
      </c>
      <c r="O8" s="5">
        <f>MAX(0,I8*'Pesos GPS'!D$13+J8*'Pesos GPS'!D$14+K8*'Pesos GPS'!D$15+L8*'Pesos GPS'!D$16+'Pesos GPS'!D$17)</f>
        <v>4.33590811</v>
      </c>
      <c r="P8" s="5">
        <f>MAX(0,I8*'Pesos GPS'!E$13+J8*'Pesos GPS'!E$14+K8*'Pesos GPS'!E$15+L8*'Pesos GPS'!E$16+'Pesos GPS'!E$17)</f>
        <v>3.450970641</v>
      </c>
      <c r="Q8" s="5">
        <f>MAX(0,I8*'Pesos GPS'!F$13+J8*'Pesos GPS'!F$14+K8*'Pesos GPS'!F$15+L8*'Pesos GPS'!F$16+'Pesos GPS'!F$17)</f>
        <v>0</v>
      </c>
      <c r="R8" s="5">
        <f>MAX(0,I8*'Pesos GPS'!G$13+J8*'Pesos GPS'!G$14+K8*'Pesos GPS'!G$15+L8*'Pesos GPS'!G$16+'Pesos GPS'!G$17)</f>
        <v>1.080816733</v>
      </c>
      <c r="S8" s="5">
        <f>MAX(0,I8*'Pesos GPS'!H$13+J8*'Pesos GPS'!H$14+K8*'Pesos GPS'!H$15+L8*'Pesos GPS'!H$16+'Pesos GPS'!H$17)</f>
        <v>0</v>
      </c>
      <c r="T8" s="5">
        <f>MAX(0,I8*'Pesos GPS'!I$13+J8*'Pesos GPS'!I$14+K8*'Pesos GPS'!I$15+L8*'Pesos GPS'!I$16+'Pesos GPS'!I$17)</f>
        <v>0</v>
      </c>
      <c r="U8" s="5">
        <f>M8*'Pesos GPS'!$B$22+N8*'Pesos GPS'!$B$23+O8*'Pesos GPS'!$B$24+P8*'Pesos GPS'!$B$25+Q8*'Pesos GPS'!$B$26+R8*'Pesos GPS'!$B$27+S8*'Pesos GPS'!$B$28+T8*'Pesos GPS'!$B$29+'Pesos GPS'!$B$30</f>
        <v>-4.199438194</v>
      </c>
      <c r="V8" s="5">
        <f t="shared" si="1"/>
        <v>0.01478221144</v>
      </c>
      <c r="W8" s="3">
        <f t="shared" si="2"/>
        <v>0</v>
      </c>
      <c r="X8" s="3">
        <f t="shared" si="3"/>
        <v>1</v>
      </c>
      <c r="Y8" s="9">
        <f t="shared" si="4"/>
        <v>0</v>
      </c>
      <c r="Z8" s="9">
        <v>0.014782211440428631</v>
      </c>
      <c r="AA8" s="3" t="str">
        <f t="shared" si="5"/>
        <v>OK</v>
      </c>
    </row>
    <row r="9">
      <c r="A9" s="3">
        <v>8.0</v>
      </c>
      <c r="B9" s="3" t="s">
        <v>15</v>
      </c>
      <c r="C9" s="7">
        <v>40.707108</v>
      </c>
      <c r="D9" s="7">
        <v>-73.981432</v>
      </c>
      <c r="E9" s="3">
        <v>0.0</v>
      </c>
      <c r="F9" s="3" t="s">
        <v>55</v>
      </c>
      <c r="G9" s="5">
        <f>(C9-'Pesos GPS'!$L$4)/'Pesos GPS'!$L$5</f>
        <v>0.9980671215</v>
      </c>
      <c r="H9" s="5">
        <f>(D9-'Pesos GPS'!$L$6)/'Pesos GPS'!$L$7</f>
        <v>-0.9997625921</v>
      </c>
      <c r="I9" s="5">
        <f>MAX(0,G9*'Pesos GPS'!B$6+H9*'Pesos GPS'!B$7+'Pesos GPS'!B$8)</f>
        <v>2.66711458</v>
      </c>
      <c r="J9" s="5">
        <f>MAX(0,G9*'Pesos GPS'!C$6+H9*'Pesos GPS'!C$7+'Pesos GPS'!C$8)</f>
        <v>0.34927343</v>
      </c>
      <c r="K9" s="5">
        <f>MAX(0,G9*'Pesos GPS'!D$6+H9*'Pesos GPS'!D$7+'Pesos GPS'!D$8)</f>
        <v>0.4740934831</v>
      </c>
      <c r="L9" s="5">
        <f>MAX(0,G9*'Pesos GPS'!E$6+H9*'Pesos GPS'!E$7+'Pesos GPS'!E$8)</f>
        <v>1.786412476</v>
      </c>
      <c r="M9" s="5">
        <f>MAX(0,I9*'Pesos GPS'!B$13+J9*'Pesos GPS'!B$14+K9*'Pesos GPS'!B$15+L9*'Pesos GPS'!B$16+'Pesos GPS'!B$17)</f>
        <v>0</v>
      </c>
      <c r="N9" s="5">
        <f>MAX(0,I9*'Pesos GPS'!C$13+J9*'Pesos GPS'!C$14+K9*'Pesos GPS'!C$15+L9*'Pesos GPS'!C$16+'Pesos GPS'!C$17)</f>
        <v>0</v>
      </c>
      <c r="O9" s="5">
        <f>MAX(0,I9*'Pesos GPS'!D$13+J9*'Pesos GPS'!D$14+K9*'Pesos GPS'!D$15+L9*'Pesos GPS'!D$16+'Pesos GPS'!D$17)</f>
        <v>4.332583252</v>
      </c>
      <c r="P9" s="5">
        <f>MAX(0,I9*'Pesos GPS'!E$13+J9*'Pesos GPS'!E$14+K9*'Pesos GPS'!E$15+L9*'Pesos GPS'!E$16+'Pesos GPS'!E$17)</f>
        <v>3.445912775</v>
      </c>
      <c r="Q9" s="5">
        <f>MAX(0,I9*'Pesos GPS'!F$13+J9*'Pesos GPS'!F$14+K9*'Pesos GPS'!F$15+L9*'Pesos GPS'!F$16+'Pesos GPS'!F$17)</f>
        <v>0</v>
      </c>
      <c r="R9" s="5">
        <f>MAX(0,I9*'Pesos GPS'!G$13+J9*'Pesos GPS'!G$14+K9*'Pesos GPS'!G$15+L9*'Pesos GPS'!G$16+'Pesos GPS'!G$17)</f>
        <v>1.07940508</v>
      </c>
      <c r="S9" s="5">
        <f>MAX(0,I9*'Pesos GPS'!H$13+J9*'Pesos GPS'!H$14+K9*'Pesos GPS'!H$15+L9*'Pesos GPS'!H$16+'Pesos GPS'!H$17)</f>
        <v>0.0004005773289</v>
      </c>
      <c r="T9" s="5">
        <f>MAX(0,I9*'Pesos GPS'!I$13+J9*'Pesos GPS'!I$14+K9*'Pesos GPS'!I$15+L9*'Pesos GPS'!I$16+'Pesos GPS'!I$17)</f>
        <v>0</v>
      </c>
      <c r="U9" s="5">
        <f>M9*'Pesos GPS'!$B$22+N9*'Pesos GPS'!$B$23+O9*'Pesos GPS'!$B$24+P9*'Pesos GPS'!$B$25+Q9*'Pesos GPS'!$B$26+R9*'Pesos GPS'!$B$27+S9*'Pesos GPS'!$B$28+T9*'Pesos GPS'!$B$29+'Pesos GPS'!$B$30</f>
        <v>-4.192908119</v>
      </c>
      <c r="V9" s="5">
        <f t="shared" si="1"/>
        <v>0.01487761543</v>
      </c>
      <c r="W9" s="3">
        <f t="shared" si="2"/>
        <v>0</v>
      </c>
      <c r="X9" s="3">
        <f t="shared" si="3"/>
        <v>1</v>
      </c>
      <c r="Y9" s="9">
        <f t="shared" si="4"/>
        <v>0</v>
      </c>
      <c r="Z9" s="9">
        <v>0.014877615427265529</v>
      </c>
      <c r="AA9" s="3" t="str">
        <f t="shared" si="5"/>
        <v>OK</v>
      </c>
    </row>
    <row r="10">
      <c r="A10" s="3">
        <v>9.0</v>
      </c>
      <c r="B10" s="3" t="s">
        <v>15</v>
      </c>
      <c r="C10" s="7">
        <v>40.712498</v>
      </c>
      <c r="D10" s="7">
        <v>-74.018482</v>
      </c>
      <c r="E10" s="3">
        <v>0.0</v>
      </c>
      <c r="F10" s="3" t="s">
        <v>55</v>
      </c>
      <c r="G10" s="5">
        <f>(C10-'Pesos GPS'!$L$4)/'Pesos GPS'!$L$5</f>
        <v>1.000208046</v>
      </c>
      <c r="H10" s="5">
        <f>(D10-'Pesos GPS'!$L$6)/'Pesos GPS'!$L$7</f>
        <v>-1.000109412</v>
      </c>
      <c r="I10" s="5">
        <f>MAX(0,G10*'Pesos GPS'!B$6+H10*'Pesos GPS'!B$7+'Pesos GPS'!B$8)</f>
        <v>2.668785837</v>
      </c>
      <c r="J10" s="5">
        <f>MAX(0,G10*'Pesos GPS'!C$6+H10*'Pesos GPS'!C$7+'Pesos GPS'!C$8)</f>
        <v>0.3475693729</v>
      </c>
      <c r="K10" s="5">
        <f>MAX(0,G10*'Pesos GPS'!D$6+H10*'Pesos GPS'!D$7+'Pesos GPS'!D$8)</f>
        <v>0.4755337436</v>
      </c>
      <c r="L10" s="5">
        <f>MAX(0,G10*'Pesos GPS'!E$6+H10*'Pesos GPS'!E$7+'Pesos GPS'!E$8)</f>
        <v>1.788976873</v>
      </c>
      <c r="M10" s="5">
        <f>MAX(0,I10*'Pesos GPS'!B$13+J10*'Pesos GPS'!B$14+K10*'Pesos GPS'!B$15+L10*'Pesos GPS'!B$16+'Pesos GPS'!B$17)</f>
        <v>0</v>
      </c>
      <c r="N10" s="5">
        <f>MAX(0,I10*'Pesos GPS'!C$13+J10*'Pesos GPS'!C$14+K10*'Pesos GPS'!C$15+L10*'Pesos GPS'!C$16+'Pesos GPS'!C$17)</f>
        <v>0</v>
      </c>
      <c r="O10" s="5">
        <f>MAX(0,I10*'Pesos GPS'!D$13+J10*'Pesos GPS'!D$14+K10*'Pesos GPS'!D$15+L10*'Pesos GPS'!D$16+'Pesos GPS'!D$17)</f>
        <v>4.335512464</v>
      </c>
      <c r="P10" s="5">
        <f>MAX(0,I10*'Pesos GPS'!E$13+J10*'Pesos GPS'!E$14+K10*'Pesos GPS'!E$15+L10*'Pesos GPS'!E$16+'Pesos GPS'!E$17)</f>
        <v>3.449691601</v>
      </c>
      <c r="Q10" s="5">
        <f>MAX(0,I10*'Pesos GPS'!F$13+J10*'Pesos GPS'!F$14+K10*'Pesos GPS'!F$15+L10*'Pesos GPS'!F$16+'Pesos GPS'!F$17)</f>
        <v>0</v>
      </c>
      <c r="R10" s="5">
        <f>MAX(0,I10*'Pesos GPS'!G$13+J10*'Pesos GPS'!G$14+K10*'Pesos GPS'!G$15+L10*'Pesos GPS'!G$16+'Pesos GPS'!G$17)</f>
        <v>1.080505965</v>
      </c>
      <c r="S10" s="5">
        <f>MAX(0,I10*'Pesos GPS'!H$13+J10*'Pesos GPS'!H$14+K10*'Pesos GPS'!H$15+L10*'Pesos GPS'!H$16+'Pesos GPS'!H$17)</f>
        <v>0</v>
      </c>
      <c r="T10" s="5">
        <f>MAX(0,I10*'Pesos GPS'!I$13+J10*'Pesos GPS'!I$14+K10*'Pesos GPS'!I$15+L10*'Pesos GPS'!I$16+'Pesos GPS'!I$17)</f>
        <v>0</v>
      </c>
      <c r="U10" s="5">
        <f>M10*'Pesos GPS'!$B$22+N10*'Pesos GPS'!$B$23+O10*'Pesos GPS'!$B$24+P10*'Pesos GPS'!$B$25+Q10*'Pesos GPS'!$B$26+R10*'Pesos GPS'!$B$27+S10*'Pesos GPS'!$B$28+T10*'Pesos GPS'!$B$29+'Pesos GPS'!$B$30</f>
        <v>-4.198296185</v>
      </c>
      <c r="V10" s="5">
        <f t="shared" si="1"/>
        <v>0.01479885253</v>
      </c>
      <c r="W10" s="3">
        <f t="shared" si="2"/>
        <v>0</v>
      </c>
      <c r="X10" s="3">
        <f t="shared" si="3"/>
        <v>1</v>
      </c>
      <c r="Y10" s="9">
        <f t="shared" si="4"/>
        <v>0</v>
      </c>
      <c r="Z10" s="9">
        <v>0.014798852528455</v>
      </c>
      <c r="AA10" s="3" t="str">
        <f t="shared" si="5"/>
        <v>OK</v>
      </c>
    </row>
    <row r="11">
      <c r="A11" s="3">
        <v>10.0</v>
      </c>
      <c r="B11" s="3" t="s">
        <v>15</v>
      </c>
      <c r="C11" s="7">
        <v>40.697445</v>
      </c>
      <c r="D11" s="7">
        <v>-74.035624</v>
      </c>
      <c r="E11" s="3">
        <v>0.0</v>
      </c>
      <c r="F11" s="3" t="s">
        <v>55</v>
      </c>
      <c r="G11" s="5">
        <f>(C11-'Pesos GPS'!$L$4)/'Pesos GPS'!$L$5</f>
        <v>0.9942289479</v>
      </c>
      <c r="H11" s="5">
        <f>(D11-'Pesos GPS'!$L$6)/'Pesos GPS'!$L$7</f>
        <v>-1.000269876</v>
      </c>
      <c r="I11" s="5">
        <f>MAX(0,G11*'Pesos GPS'!B$6+H11*'Pesos GPS'!B$7+'Pesos GPS'!B$8)</f>
        <v>2.666476558</v>
      </c>
      <c r="J11" s="5">
        <f>MAX(0,G11*'Pesos GPS'!C$6+H11*'Pesos GPS'!C$7+'Pesos GPS'!C$8)</f>
        <v>0.3538307855</v>
      </c>
      <c r="K11" s="5">
        <f>MAX(0,G11*'Pesos GPS'!D$6+H11*'Pesos GPS'!D$7+'Pesos GPS'!D$8)</f>
        <v>0.471311695</v>
      </c>
      <c r="L11" s="5">
        <f>MAX(0,G11*'Pesos GPS'!E$6+H11*'Pesos GPS'!E$7+'Pesos GPS'!E$8)</f>
        <v>1.782372352</v>
      </c>
      <c r="M11" s="5">
        <f>MAX(0,I11*'Pesos GPS'!B$13+J11*'Pesos GPS'!B$14+K11*'Pesos GPS'!B$15+L11*'Pesos GPS'!B$16+'Pesos GPS'!B$17)</f>
        <v>0</v>
      </c>
      <c r="N11" s="5">
        <f>MAX(0,I11*'Pesos GPS'!C$13+J11*'Pesos GPS'!C$14+K11*'Pesos GPS'!C$15+L11*'Pesos GPS'!C$16+'Pesos GPS'!C$17)</f>
        <v>0</v>
      </c>
      <c r="O11" s="5">
        <f>MAX(0,I11*'Pesos GPS'!D$13+J11*'Pesos GPS'!D$14+K11*'Pesos GPS'!D$15+L11*'Pesos GPS'!D$16+'Pesos GPS'!D$17)</f>
        <v>4.330986199</v>
      </c>
      <c r="P11" s="5">
        <f>MAX(0,I11*'Pesos GPS'!E$13+J11*'Pesos GPS'!E$14+K11*'Pesos GPS'!E$15+L11*'Pesos GPS'!E$16+'Pesos GPS'!E$17)</f>
        <v>3.441095913</v>
      </c>
      <c r="Q11" s="5">
        <f>MAX(0,I11*'Pesos GPS'!F$13+J11*'Pesos GPS'!F$14+K11*'Pesos GPS'!F$15+L11*'Pesos GPS'!F$16+'Pesos GPS'!F$17)</f>
        <v>0</v>
      </c>
      <c r="R11" s="5">
        <f>MAX(0,I11*'Pesos GPS'!G$13+J11*'Pesos GPS'!G$14+K11*'Pesos GPS'!G$15+L11*'Pesos GPS'!G$16+'Pesos GPS'!G$17)</f>
        <v>1.078223612</v>
      </c>
      <c r="S11" s="5">
        <f>MAX(0,I11*'Pesos GPS'!H$13+J11*'Pesos GPS'!H$14+K11*'Pesos GPS'!H$15+L11*'Pesos GPS'!H$16+'Pesos GPS'!H$17)</f>
        <v>0.002905048692</v>
      </c>
      <c r="T11" s="5">
        <f>MAX(0,I11*'Pesos GPS'!I$13+J11*'Pesos GPS'!I$14+K11*'Pesos GPS'!I$15+L11*'Pesos GPS'!I$16+'Pesos GPS'!I$17)</f>
        <v>0</v>
      </c>
      <c r="U11" s="5">
        <f>M11*'Pesos GPS'!$B$22+N11*'Pesos GPS'!$B$23+O11*'Pesos GPS'!$B$24+P11*'Pesos GPS'!$B$25+Q11*'Pesos GPS'!$B$26+R11*'Pesos GPS'!$B$27+S11*'Pesos GPS'!$B$28+T11*'Pesos GPS'!$B$29+'Pesos GPS'!$B$30</f>
        <v>-4.187717002</v>
      </c>
      <c r="V11" s="5">
        <f t="shared" si="1"/>
        <v>0.01495388976</v>
      </c>
      <c r="W11" s="3">
        <f t="shared" si="2"/>
        <v>0</v>
      </c>
      <c r="X11" s="3">
        <f t="shared" si="3"/>
        <v>1</v>
      </c>
      <c r="Y11" s="9">
        <f t="shared" si="4"/>
        <v>0</v>
      </c>
      <c r="Z11" s="9">
        <v>0.014953889763159011</v>
      </c>
      <c r="AA11" s="3" t="str">
        <f t="shared" si="5"/>
        <v>OK</v>
      </c>
    </row>
    <row r="12">
      <c r="A12" s="3">
        <v>11.0</v>
      </c>
      <c r="B12" s="3" t="s">
        <v>15</v>
      </c>
      <c r="C12" s="7">
        <v>40.728629</v>
      </c>
      <c r="D12" s="7">
        <v>-74.030128</v>
      </c>
      <c r="E12" s="3">
        <v>0.0</v>
      </c>
      <c r="F12" s="3" t="s">
        <v>55</v>
      </c>
      <c r="G12" s="5">
        <f>(C12-'Pesos GPS'!$L$4)/'Pesos GPS'!$L$5</f>
        <v>1.00661533</v>
      </c>
      <c r="H12" s="5">
        <f>(D12-'Pesos GPS'!$L$6)/'Pesos GPS'!$L$7</f>
        <v>-1.000218429</v>
      </c>
      <c r="I12" s="5">
        <f>MAX(0,G12*'Pesos GPS'!B$6+H12*'Pesos GPS'!B$7+'Pesos GPS'!B$8)</f>
        <v>2.671847333</v>
      </c>
      <c r="J12" s="5">
        <f>MAX(0,G12*'Pesos GPS'!C$6+H12*'Pesos GPS'!C$7+'Pesos GPS'!C$8)</f>
        <v>0.3412334359</v>
      </c>
      <c r="K12" s="5">
        <f>MAX(0,G12*'Pesos GPS'!D$6+H12*'Pesos GPS'!D$7+'Pesos GPS'!D$8)</f>
        <v>0.4800084416</v>
      </c>
      <c r="L12" s="5">
        <f>MAX(0,G12*'Pesos GPS'!E$6+H12*'Pesos GPS'!E$7+'Pesos GPS'!E$8)</f>
        <v>1.796193039</v>
      </c>
      <c r="M12" s="5">
        <f>MAX(0,I12*'Pesos GPS'!B$13+J12*'Pesos GPS'!B$14+K12*'Pesos GPS'!B$15+L12*'Pesos GPS'!B$16+'Pesos GPS'!B$17)</f>
        <v>0</v>
      </c>
      <c r="N12" s="5">
        <f>MAX(0,I12*'Pesos GPS'!C$13+J12*'Pesos GPS'!C$14+K12*'Pesos GPS'!C$15+L12*'Pesos GPS'!C$16+'Pesos GPS'!C$17)</f>
        <v>0</v>
      </c>
      <c r="O12" s="5">
        <f>MAX(0,I12*'Pesos GPS'!D$13+J12*'Pesos GPS'!D$14+K12*'Pesos GPS'!D$15+L12*'Pesos GPS'!D$16+'Pesos GPS'!D$17)</f>
        <v>4.341272278</v>
      </c>
      <c r="P12" s="5">
        <f>MAX(0,I12*'Pesos GPS'!E$13+J12*'Pesos GPS'!E$14+K12*'Pesos GPS'!E$15+L12*'Pesos GPS'!E$16+'Pesos GPS'!E$17)</f>
        <v>3.459390041</v>
      </c>
      <c r="Q12" s="5">
        <f>MAX(0,I12*'Pesos GPS'!F$13+J12*'Pesos GPS'!F$14+K12*'Pesos GPS'!F$15+L12*'Pesos GPS'!F$16+'Pesos GPS'!F$17)</f>
        <v>0</v>
      </c>
      <c r="R12" s="5">
        <f>MAX(0,I12*'Pesos GPS'!G$13+J12*'Pesos GPS'!G$14+K12*'Pesos GPS'!G$15+L12*'Pesos GPS'!G$16+'Pesos GPS'!G$17)</f>
        <v>1.0831489</v>
      </c>
      <c r="S12" s="5">
        <f>MAX(0,I12*'Pesos GPS'!H$13+J12*'Pesos GPS'!H$14+K12*'Pesos GPS'!H$15+L12*'Pesos GPS'!H$16+'Pesos GPS'!H$17)</f>
        <v>0</v>
      </c>
      <c r="T12" s="5">
        <f>MAX(0,I12*'Pesos GPS'!I$13+J12*'Pesos GPS'!I$14+K12*'Pesos GPS'!I$15+L12*'Pesos GPS'!I$16+'Pesos GPS'!I$17)</f>
        <v>0</v>
      </c>
      <c r="U12" s="5">
        <f>M12*'Pesos GPS'!$B$22+N12*'Pesos GPS'!$B$23+O12*'Pesos GPS'!$B$24+P12*'Pesos GPS'!$B$25+Q12*'Pesos GPS'!$B$26+R12*'Pesos GPS'!$B$27+S12*'Pesos GPS'!$B$28+T12*'Pesos GPS'!$B$29+'Pesos GPS'!$B$30</f>
        <v>-4.209918812</v>
      </c>
      <c r="V12" s="5">
        <f t="shared" si="1"/>
        <v>0.01463034855</v>
      </c>
      <c r="W12" s="3">
        <f t="shared" si="2"/>
        <v>0</v>
      </c>
      <c r="X12" s="3">
        <f t="shared" si="3"/>
        <v>1</v>
      </c>
      <c r="Y12" s="9">
        <f t="shared" si="4"/>
        <v>0</v>
      </c>
      <c r="Z12" s="9">
        <v>0.014630348553139856</v>
      </c>
      <c r="AA12" s="3" t="str">
        <f t="shared" si="5"/>
        <v>OK</v>
      </c>
    </row>
    <row r="13">
      <c r="A13" s="3">
        <v>12.0</v>
      </c>
      <c r="B13" s="3" t="s">
        <v>15</v>
      </c>
      <c r="C13" s="7">
        <v>40.7268</v>
      </c>
      <c r="D13" s="7">
        <v>-74.024131</v>
      </c>
      <c r="E13" s="3">
        <v>0.0</v>
      </c>
      <c r="F13" s="3" t="s">
        <v>55</v>
      </c>
      <c r="G13" s="5">
        <f>(C13-'Pesos GPS'!$L$4)/'Pesos GPS'!$L$5</f>
        <v>1.005888845</v>
      </c>
      <c r="H13" s="5">
        <f>(D13-'Pesos GPS'!$L$6)/'Pesos GPS'!$L$7</f>
        <v>-1.000162292</v>
      </c>
      <c r="I13" s="5">
        <f>MAX(0,G13*'Pesos GPS'!B$6+H13*'Pesos GPS'!B$7+'Pesos GPS'!B$8)</f>
        <v>2.671408776</v>
      </c>
      <c r="J13" s="5">
        <f>MAX(0,G13*'Pesos GPS'!C$6+H13*'Pesos GPS'!C$7+'Pesos GPS'!C$8)</f>
        <v>0.3418935794</v>
      </c>
      <c r="K13" s="5">
        <f>MAX(0,G13*'Pesos GPS'!D$6+H13*'Pesos GPS'!D$7+'Pesos GPS'!D$8)</f>
        <v>0.4795088262</v>
      </c>
      <c r="L13" s="5">
        <f>MAX(0,G13*'Pesos GPS'!E$6+H13*'Pesos GPS'!E$7+'Pesos GPS'!E$8)</f>
        <v>1.795353235</v>
      </c>
      <c r="M13" s="5">
        <f>MAX(0,I13*'Pesos GPS'!B$13+J13*'Pesos GPS'!B$14+K13*'Pesos GPS'!B$15+L13*'Pesos GPS'!B$16+'Pesos GPS'!B$17)</f>
        <v>0</v>
      </c>
      <c r="N13" s="5">
        <f>MAX(0,I13*'Pesos GPS'!C$13+J13*'Pesos GPS'!C$14+K13*'Pesos GPS'!C$15+L13*'Pesos GPS'!C$16+'Pesos GPS'!C$17)</f>
        <v>0</v>
      </c>
      <c r="O13" s="5">
        <f>MAX(0,I13*'Pesos GPS'!D$13+J13*'Pesos GPS'!D$14+K13*'Pesos GPS'!D$15+L13*'Pesos GPS'!D$16+'Pesos GPS'!D$17)</f>
        <v>4.340477518</v>
      </c>
      <c r="P13" s="5">
        <f>MAX(0,I13*'Pesos GPS'!E$13+J13*'Pesos GPS'!E$14+K13*'Pesos GPS'!E$15+L13*'Pesos GPS'!E$16+'Pesos GPS'!E$17)</f>
        <v>3.458214487</v>
      </c>
      <c r="Q13" s="5">
        <f>MAX(0,I13*'Pesos GPS'!F$13+J13*'Pesos GPS'!F$14+K13*'Pesos GPS'!F$15+L13*'Pesos GPS'!F$16+'Pesos GPS'!F$17)</f>
        <v>0</v>
      </c>
      <c r="R13" s="5">
        <f>MAX(0,I13*'Pesos GPS'!G$13+J13*'Pesos GPS'!G$14+K13*'Pesos GPS'!G$15+L13*'Pesos GPS'!G$16+'Pesos GPS'!G$17)</f>
        <v>1.082818518</v>
      </c>
      <c r="S13" s="5">
        <f>MAX(0,I13*'Pesos GPS'!H$13+J13*'Pesos GPS'!H$14+K13*'Pesos GPS'!H$15+L13*'Pesos GPS'!H$16+'Pesos GPS'!H$17)</f>
        <v>0</v>
      </c>
      <c r="T13" s="5">
        <f>MAX(0,I13*'Pesos GPS'!I$13+J13*'Pesos GPS'!I$14+K13*'Pesos GPS'!I$15+L13*'Pesos GPS'!I$16+'Pesos GPS'!I$17)</f>
        <v>0</v>
      </c>
      <c r="U13" s="5">
        <f>M13*'Pesos GPS'!$B$22+N13*'Pesos GPS'!$B$23+O13*'Pesos GPS'!$B$24+P13*'Pesos GPS'!$B$25+Q13*'Pesos GPS'!$B$26+R13*'Pesos GPS'!$B$27+S13*'Pesos GPS'!$B$28+T13*'Pesos GPS'!$B$29+'Pesos GPS'!$B$30</f>
        <v>-4.208406295</v>
      </c>
      <c r="V13" s="5">
        <f t="shared" si="1"/>
        <v>0.01465216947</v>
      </c>
      <c r="W13" s="3">
        <f t="shared" si="2"/>
        <v>0</v>
      </c>
      <c r="X13" s="3">
        <f t="shared" si="3"/>
        <v>1</v>
      </c>
      <c r="Y13" s="9">
        <f t="shared" si="4"/>
        <v>0</v>
      </c>
      <c r="Z13" s="9">
        <v>0.014652169472438251</v>
      </c>
      <c r="AA13" s="3" t="str">
        <f t="shared" si="5"/>
        <v>OK</v>
      </c>
    </row>
    <row r="14">
      <c r="A14" s="3">
        <v>13.0</v>
      </c>
      <c r="B14" s="3" t="s">
        <v>15</v>
      </c>
      <c r="C14" s="7">
        <v>40.713989</v>
      </c>
      <c r="D14" s="7">
        <v>-73.952788</v>
      </c>
      <c r="E14" s="3">
        <v>0.0</v>
      </c>
      <c r="F14" s="3" t="s">
        <v>55</v>
      </c>
      <c r="G14" s="5">
        <f>(C14-'Pesos GPS'!$L$4)/'Pesos GPS'!$L$5</f>
        <v>1.000800276</v>
      </c>
      <c r="H14" s="5">
        <f>(D14-'Pesos GPS'!$L$6)/'Pesos GPS'!$L$7</f>
        <v>-0.9994944594</v>
      </c>
      <c r="I14" s="5">
        <f>MAX(0,G14*'Pesos GPS'!B$6+H14*'Pesos GPS'!B$7+'Pesos GPS'!B$8)</f>
        <v>2.66776337</v>
      </c>
      <c r="J14" s="5">
        <f>MAX(0,G14*'Pesos GPS'!C$6+H14*'Pesos GPS'!C$7+'Pesos GPS'!C$8)</f>
        <v>0.3461520364</v>
      </c>
      <c r="K14" s="5">
        <f>MAX(0,G14*'Pesos GPS'!D$6+H14*'Pesos GPS'!D$7+'Pesos GPS'!D$8)</f>
        <v>0.4760579171</v>
      </c>
      <c r="L14" s="5">
        <f>MAX(0,G14*'Pesos GPS'!E$6+H14*'Pesos GPS'!E$7+'Pesos GPS'!E$8)</f>
        <v>1.789335389</v>
      </c>
      <c r="M14" s="5">
        <f>MAX(0,I14*'Pesos GPS'!B$13+J14*'Pesos GPS'!B$14+K14*'Pesos GPS'!B$15+L14*'Pesos GPS'!B$16+'Pesos GPS'!B$17)</f>
        <v>0</v>
      </c>
      <c r="N14" s="5">
        <f>MAX(0,I14*'Pesos GPS'!C$13+J14*'Pesos GPS'!C$14+K14*'Pesos GPS'!C$15+L14*'Pesos GPS'!C$16+'Pesos GPS'!C$17)</f>
        <v>0</v>
      </c>
      <c r="O14" s="5">
        <f>MAX(0,I14*'Pesos GPS'!D$13+J14*'Pesos GPS'!D$14+K14*'Pesos GPS'!D$15+L14*'Pesos GPS'!D$16+'Pesos GPS'!D$17)</f>
        <v>4.334021852</v>
      </c>
      <c r="P14" s="5">
        <f>MAX(0,I14*'Pesos GPS'!E$13+J14*'Pesos GPS'!E$14+K14*'Pesos GPS'!E$15+L14*'Pesos GPS'!E$16+'Pesos GPS'!E$17)</f>
        <v>3.449504285</v>
      </c>
      <c r="Q14" s="5">
        <f>MAX(0,I14*'Pesos GPS'!F$13+J14*'Pesos GPS'!F$14+K14*'Pesos GPS'!F$15+L14*'Pesos GPS'!F$16+'Pesos GPS'!F$17)</f>
        <v>0</v>
      </c>
      <c r="R14" s="5">
        <f>MAX(0,I14*'Pesos GPS'!G$13+J14*'Pesos GPS'!G$14+K14*'Pesos GPS'!G$15+L14*'Pesos GPS'!G$16+'Pesos GPS'!G$17)</f>
        <v>1.080311723</v>
      </c>
      <c r="S14" s="5">
        <f>MAX(0,I14*'Pesos GPS'!H$13+J14*'Pesos GPS'!H$14+K14*'Pesos GPS'!H$15+L14*'Pesos GPS'!H$16+'Pesos GPS'!H$17)</f>
        <v>0</v>
      </c>
      <c r="T14" s="5">
        <f>MAX(0,I14*'Pesos GPS'!I$13+J14*'Pesos GPS'!I$14+K14*'Pesos GPS'!I$15+L14*'Pesos GPS'!I$16+'Pesos GPS'!I$17)</f>
        <v>0</v>
      </c>
      <c r="U14" s="5">
        <f>M14*'Pesos GPS'!$B$22+N14*'Pesos GPS'!$B$23+O14*'Pesos GPS'!$B$24+P14*'Pesos GPS'!$B$25+Q14*'Pesos GPS'!$B$26+R14*'Pesos GPS'!$B$27+S14*'Pesos GPS'!$B$28+T14*'Pesos GPS'!$B$29+'Pesos GPS'!$B$30</f>
        <v>-4.196590656</v>
      </c>
      <c r="V14" s="5">
        <f t="shared" si="1"/>
        <v>0.01482373948</v>
      </c>
      <c r="W14" s="3">
        <f t="shared" si="2"/>
        <v>0</v>
      </c>
      <c r="X14" s="3">
        <f t="shared" si="3"/>
        <v>1</v>
      </c>
      <c r="Y14" s="9">
        <f t="shared" si="4"/>
        <v>0</v>
      </c>
      <c r="Z14" s="9">
        <v>0.014823739475921699</v>
      </c>
      <c r="AA14" s="3" t="str">
        <f t="shared" si="5"/>
        <v>OK</v>
      </c>
    </row>
    <row r="15">
      <c r="A15" s="3">
        <v>14.0</v>
      </c>
      <c r="B15" s="3" t="s">
        <v>15</v>
      </c>
      <c r="C15" s="7">
        <v>40.73309</v>
      </c>
      <c r="D15" s="7">
        <v>-74.026535</v>
      </c>
      <c r="E15" s="3">
        <v>0.0</v>
      </c>
      <c r="F15" s="3" t="s">
        <v>55</v>
      </c>
      <c r="G15" s="5">
        <f>(C15-'Pesos GPS'!$L$4)/'Pesos GPS'!$L$5</f>
        <v>1.008387253</v>
      </c>
      <c r="H15" s="5">
        <f>(D15-'Pesos GPS'!$L$6)/'Pesos GPS'!$L$7</f>
        <v>-1.000184795</v>
      </c>
      <c r="I15" s="5">
        <f>MAX(0,G15*'Pesos GPS'!B$6+H15*'Pesos GPS'!B$7+'Pesos GPS'!B$8)</f>
        <v>2.672560768</v>
      </c>
      <c r="J15" s="5">
        <f>MAX(0,G15*'Pesos GPS'!C$6+H15*'Pesos GPS'!C$7+'Pesos GPS'!C$8)</f>
        <v>0.3393963714</v>
      </c>
      <c r="K15" s="5">
        <f>MAX(0,G15*'Pesos GPS'!D$6+H15*'Pesos GPS'!D$7+'Pesos GPS'!D$8)</f>
        <v>0.4812571953</v>
      </c>
      <c r="L15" s="5">
        <f>MAX(0,G15*'Pesos GPS'!E$6+H15*'Pesos GPS'!E$7+'Pesos GPS'!E$8)</f>
        <v>1.798157178</v>
      </c>
      <c r="M15" s="5">
        <f>MAX(0,I15*'Pesos GPS'!B$13+J15*'Pesos GPS'!B$14+K15*'Pesos GPS'!B$15+L15*'Pesos GPS'!B$16+'Pesos GPS'!B$17)</f>
        <v>0</v>
      </c>
      <c r="N15" s="5">
        <f>MAX(0,I15*'Pesos GPS'!C$13+J15*'Pesos GPS'!C$14+K15*'Pesos GPS'!C$15+L15*'Pesos GPS'!C$16+'Pesos GPS'!C$17)</f>
        <v>0</v>
      </c>
      <c r="O15" s="5">
        <f>MAX(0,I15*'Pesos GPS'!D$13+J15*'Pesos GPS'!D$14+K15*'Pesos GPS'!D$15+L15*'Pesos GPS'!D$16+'Pesos GPS'!D$17)</f>
        <v>4.342658705</v>
      </c>
      <c r="P15" s="5">
        <f>MAX(0,I15*'Pesos GPS'!E$13+J15*'Pesos GPS'!E$14+K15*'Pesos GPS'!E$15+L15*'Pesos GPS'!E$16+'Pesos GPS'!E$17)</f>
        <v>3.461961535</v>
      </c>
      <c r="Q15" s="5">
        <f>MAX(0,I15*'Pesos GPS'!F$13+J15*'Pesos GPS'!F$14+K15*'Pesos GPS'!F$15+L15*'Pesos GPS'!F$16+'Pesos GPS'!F$17)</f>
        <v>0</v>
      </c>
      <c r="R15" s="5">
        <f>MAX(0,I15*'Pesos GPS'!G$13+J15*'Pesos GPS'!G$14+K15*'Pesos GPS'!G$15+L15*'Pesos GPS'!G$16+'Pesos GPS'!G$17)</f>
        <v>1.083835048</v>
      </c>
      <c r="S15" s="5">
        <f>MAX(0,I15*'Pesos GPS'!H$13+J15*'Pesos GPS'!H$14+K15*'Pesos GPS'!H$15+L15*'Pesos GPS'!H$16+'Pesos GPS'!H$17)</f>
        <v>0</v>
      </c>
      <c r="T15" s="5">
        <f>MAX(0,I15*'Pesos GPS'!I$13+J15*'Pesos GPS'!I$14+K15*'Pesos GPS'!I$15+L15*'Pesos GPS'!I$16+'Pesos GPS'!I$17)</f>
        <v>0</v>
      </c>
      <c r="U15" s="5">
        <f>M15*'Pesos GPS'!$B$22+N15*'Pesos GPS'!$B$23+O15*'Pesos GPS'!$B$24+P15*'Pesos GPS'!$B$25+Q15*'Pesos GPS'!$B$26+R15*'Pesos GPS'!$B$27+S15*'Pesos GPS'!$B$28+T15*'Pesos GPS'!$B$29+'Pesos GPS'!$B$30</f>
        <v>-4.212849359</v>
      </c>
      <c r="V15" s="5">
        <f t="shared" si="1"/>
        <v>0.01458816094</v>
      </c>
      <c r="W15" s="3">
        <f t="shared" si="2"/>
        <v>0</v>
      </c>
      <c r="X15" s="3">
        <f t="shared" si="3"/>
        <v>1</v>
      </c>
      <c r="Y15" s="9">
        <f t="shared" si="4"/>
        <v>0</v>
      </c>
      <c r="Z15" s="9">
        <v>0.01458816094094088</v>
      </c>
      <c r="AA15" s="3" t="str">
        <f t="shared" si="5"/>
        <v>OK</v>
      </c>
    </row>
    <row r="16">
      <c r="A16" s="3">
        <v>15.0</v>
      </c>
      <c r="B16" s="3" t="s">
        <v>15</v>
      </c>
      <c r="C16" s="7">
        <v>40.721215</v>
      </c>
      <c r="D16" s="7">
        <v>-73.985038</v>
      </c>
      <c r="E16" s="3">
        <v>0.0</v>
      </c>
      <c r="F16" s="3" t="s">
        <v>55</v>
      </c>
      <c r="G16" s="5">
        <f>(C16-'Pesos GPS'!$L$4)/'Pesos GPS'!$L$5</f>
        <v>1.003670466</v>
      </c>
      <c r="H16" s="5">
        <f>(D16-'Pesos GPS'!$L$6)/'Pesos GPS'!$L$7</f>
        <v>-0.9997963474</v>
      </c>
      <c r="I16" s="5">
        <f>MAX(0,G16*'Pesos GPS'!B$6+H16*'Pesos GPS'!B$7+'Pesos GPS'!B$8)</f>
        <v>2.669663319</v>
      </c>
      <c r="J16" s="5">
        <f>MAX(0,G16*'Pesos GPS'!C$6+H16*'Pesos GPS'!C$7+'Pesos GPS'!C$8)</f>
        <v>0.3436505344</v>
      </c>
      <c r="K16" s="5">
        <f>MAX(0,G16*'Pesos GPS'!D$6+H16*'Pesos GPS'!D$7+'Pesos GPS'!D$8)</f>
        <v>0.4780176234</v>
      </c>
      <c r="L16" s="5">
        <f>MAX(0,G16*'Pesos GPS'!E$6+H16*'Pesos GPS'!E$7+'Pesos GPS'!E$8)</f>
        <v>1.792692817</v>
      </c>
      <c r="M16" s="5">
        <f>MAX(0,I16*'Pesos GPS'!B$13+J16*'Pesos GPS'!B$14+K16*'Pesos GPS'!B$15+L16*'Pesos GPS'!B$16+'Pesos GPS'!B$17)</f>
        <v>0</v>
      </c>
      <c r="N16" s="5">
        <f>MAX(0,I16*'Pesos GPS'!C$13+J16*'Pesos GPS'!C$14+K16*'Pesos GPS'!C$15+L16*'Pesos GPS'!C$16+'Pesos GPS'!C$17)</f>
        <v>0</v>
      </c>
      <c r="O16" s="5">
        <f>MAX(0,I16*'Pesos GPS'!D$13+J16*'Pesos GPS'!D$14+K16*'Pesos GPS'!D$15+L16*'Pesos GPS'!D$16+'Pesos GPS'!D$17)</f>
        <v>4.337421045</v>
      </c>
      <c r="P16" s="5">
        <f>MAX(0,I16*'Pesos GPS'!E$13+J16*'Pesos GPS'!E$14+K16*'Pesos GPS'!E$15+L16*'Pesos GPS'!E$16+'Pesos GPS'!E$17)</f>
        <v>3.454287546</v>
      </c>
      <c r="Q16" s="5">
        <f>MAX(0,I16*'Pesos GPS'!F$13+J16*'Pesos GPS'!F$14+K16*'Pesos GPS'!F$15+L16*'Pesos GPS'!F$16+'Pesos GPS'!F$17)</f>
        <v>0</v>
      </c>
      <c r="R16" s="5">
        <f>MAX(0,I16*'Pesos GPS'!G$13+J16*'Pesos GPS'!G$14+K16*'Pesos GPS'!G$15+L16*'Pesos GPS'!G$16+'Pesos GPS'!G$17)</f>
        <v>1.081673191</v>
      </c>
      <c r="S16" s="5">
        <f>MAX(0,I16*'Pesos GPS'!H$13+J16*'Pesos GPS'!H$14+K16*'Pesos GPS'!H$15+L16*'Pesos GPS'!H$16+'Pesos GPS'!H$17)</f>
        <v>0</v>
      </c>
      <c r="T16" s="5">
        <f>MAX(0,I16*'Pesos GPS'!I$13+J16*'Pesos GPS'!I$14+K16*'Pesos GPS'!I$15+L16*'Pesos GPS'!I$16+'Pesos GPS'!I$17)</f>
        <v>0</v>
      </c>
      <c r="U16" s="5">
        <f>M16*'Pesos GPS'!$B$22+N16*'Pesos GPS'!$B$23+O16*'Pesos GPS'!$B$24+P16*'Pesos GPS'!$B$25+Q16*'Pesos GPS'!$B$26+R16*'Pesos GPS'!$B$27+S16*'Pesos GPS'!$B$28+T16*'Pesos GPS'!$B$29+'Pesos GPS'!$B$30</f>
        <v>-4.20292255</v>
      </c>
      <c r="V16" s="5">
        <f t="shared" si="1"/>
        <v>0.01473155202</v>
      </c>
      <c r="W16" s="3">
        <f t="shared" si="2"/>
        <v>0</v>
      </c>
      <c r="X16" s="3">
        <f t="shared" si="3"/>
        <v>1</v>
      </c>
      <c r="Y16" s="9">
        <f t="shared" si="4"/>
        <v>0</v>
      </c>
      <c r="Z16" s="9">
        <v>0.014731552021800593</v>
      </c>
      <c r="AA16" s="3" t="str">
        <f t="shared" si="5"/>
        <v>OK</v>
      </c>
    </row>
    <row r="17">
      <c r="A17" s="3">
        <v>16.0</v>
      </c>
      <c r="B17" s="3" t="s">
        <v>15</v>
      </c>
      <c r="C17" s="7">
        <v>40.697333</v>
      </c>
      <c r="D17" s="7">
        <v>-74.028573</v>
      </c>
      <c r="E17" s="3">
        <v>0.0</v>
      </c>
      <c r="F17" s="3" t="s">
        <v>55</v>
      </c>
      <c r="G17" s="5">
        <f>(C17-'Pesos GPS'!$L$4)/'Pesos GPS'!$L$5</f>
        <v>0.9941844611</v>
      </c>
      <c r="H17" s="5">
        <f>(D17-'Pesos GPS'!$L$6)/'Pesos GPS'!$L$7</f>
        <v>-1.000203873</v>
      </c>
      <c r="I17" s="5">
        <f>MAX(0,G17*'Pesos GPS'!B$6+H17*'Pesos GPS'!B$7+'Pesos GPS'!B$8)</f>
        <v>2.666319027</v>
      </c>
      <c r="J17" s="5">
        <f>MAX(0,G17*'Pesos GPS'!C$6+H17*'Pesos GPS'!C$7+'Pesos GPS'!C$8)</f>
        <v>0.3537879559</v>
      </c>
      <c r="K17" s="5">
        <f>MAX(0,G17*'Pesos GPS'!D$6+H17*'Pesos GPS'!D$7+'Pesos GPS'!D$8)</f>
        <v>0.4712921693</v>
      </c>
      <c r="L17" s="5">
        <f>MAX(0,G17*'Pesos GPS'!E$6+H17*'Pesos GPS'!E$7+'Pesos GPS'!E$8)</f>
        <v>1.782290047</v>
      </c>
      <c r="M17" s="5">
        <f>MAX(0,I17*'Pesos GPS'!B$13+J17*'Pesos GPS'!B$14+K17*'Pesos GPS'!B$15+L17*'Pesos GPS'!B$16+'Pesos GPS'!B$17)</f>
        <v>0</v>
      </c>
      <c r="N17" s="5">
        <f>MAX(0,I17*'Pesos GPS'!C$13+J17*'Pesos GPS'!C$14+K17*'Pesos GPS'!C$15+L17*'Pesos GPS'!C$16+'Pesos GPS'!C$17)</f>
        <v>0</v>
      </c>
      <c r="O17" s="5">
        <f>MAX(0,I17*'Pesos GPS'!D$13+J17*'Pesos GPS'!D$14+K17*'Pesos GPS'!D$15+L17*'Pesos GPS'!D$16+'Pesos GPS'!D$17)</f>
        <v>4.330735028</v>
      </c>
      <c r="P17" s="5">
        <f>MAX(0,I17*'Pesos GPS'!E$13+J17*'Pesos GPS'!E$14+K17*'Pesos GPS'!E$15+L17*'Pesos GPS'!E$16+'Pesos GPS'!E$17)</f>
        <v>3.440915443</v>
      </c>
      <c r="Q17" s="5">
        <f>MAX(0,I17*'Pesos GPS'!F$13+J17*'Pesos GPS'!F$14+K17*'Pesos GPS'!F$15+L17*'Pesos GPS'!F$16+'Pesos GPS'!F$17)</f>
        <v>0</v>
      </c>
      <c r="R17" s="5">
        <f>MAX(0,I17*'Pesos GPS'!G$13+J17*'Pesos GPS'!G$14+K17*'Pesos GPS'!G$15+L17*'Pesos GPS'!G$16+'Pesos GPS'!G$17)</f>
        <v>1.078159484</v>
      </c>
      <c r="S17" s="5">
        <f>MAX(0,I17*'Pesos GPS'!H$13+J17*'Pesos GPS'!H$14+K17*'Pesos GPS'!H$15+L17*'Pesos GPS'!H$16+'Pesos GPS'!H$17)</f>
        <v>0.00287748758</v>
      </c>
      <c r="T17" s="5">
        <f>MAX(0,I17*'Pesos GPS'!I$13+J17*'Pesos GPS'!I$14+K17*'Pesos GPS'!I$15+L17*'Pesos GPS'!I$16+'Pesos GPS'!I$17)</f>
        <v>0</v>
      </c>
      <c r="U17" s="5">
        <f>M17*'Pesos GPS'!$B$22+N17*'Pesos GPS'!$B$23+O17*'Pesos GPS'!$B$24+P17*'Pesos GPS'!$B$25+Q17*'Pesos GPS'!$B$26+R17*'Pesos GPS'!$B$27+S17*'Pesos GPS'!$B$28+T17*'Pesos GPS'!$B$29+'Pesos GPS'!$B$30</f>
        <v>-4.187354653</v>
      </c>
      <c r="V17" s="5">
        <f t="shared" si="1"/>
        <v>0.0149592282</v>
      </c>
      <c r="W17" s="3">
        <f t="shared" si="2"/>
        <v>0</v>
      </c>
      <c r="X17" s="3">
        <f t="shared" si="3"/>
        <v>1</v>
      </c>
      <c r="Y17" s="9">
        <f t="shared" si="4"/>
        <v>0</v>
      </c>
      <c r="Z17" s="9">
        <v>0.014959228199416766</v>
      </c>
      <c r="AA17" s="3" t="str">
        <f t="shared" si="5"/>
        <v>OK</v>
      </c>
    </row>
    <row r="18">
      <c r="A18" s="3">
        <v>17.0</v>
      </c>
      <c r="B18" s="3" t="s">
        <v>15</v>
      </c>
      <c r="C18" s="7">
        <v>40.719438</v>
      </c>
      <c r="D18" s="7">
        <v>-73.982711</v>
      </c>
      <c r="E18" s="3">
        <v>0.0</v>
      </c>
      <c r="F18" s="3" t="s">
        <v>55</v>
      </c>
      <c r="G18" s="5">
        <f>(C18-'Pesos GPS'!$L$4)/'Pesos GPS'!$L$5</f>
        <v>1.002964636</v>
      </c>
      <c r="H18" s="5">
        <f>(D18-'Pesos GPS'!$L$6)/'Pesos GPS'!$L$7</f>
        <v>-0.9997745647</v>
      </c>
      <c r="I18" s="5">
        <f>MAX(0,G18*'Pesos GPS'!B$6+H18*'Pesos GPS'!B$7+'Pesos GPS'!B$8)</f>
        <v>2.66930565</v>
      </c>
      <c r="J18" s="5">
        <f>MAX(0,G18*'Pesos GPS'!C$6+H18*'Pesos GPS'!C$7+'Pesos GPS'!C$8)</f>
        <v>0.3443354997</v>
      </c>
      <c r="K18" s="5">
        <f>MAX(0,G18*'Pesos GPS'!D$6+H18*'Pesos GPS'!D$7+'Pesos GPS'!D$8)</f>
        <v>0.4775264171</v>
      </c>
      <c r="L18" s="5">
        <f>MAX(0,G18*'Pesos GPS'!E$6+H18*'Pesos GPS'!E$7+'Pesos GPS'!E$8)</f>
        <v>1.791893056</v>
      </c>
      <c r="M18" s="5">
        <f>MAX(0,I18*'Pesos GPS'!B$13+J18*'Pesos GPS'!B$14+K18*'Pesos GPS'!B$15+L18*'Pesos GPS'!B$16+'Pesos GPS'!B$17)</f>
        <v>0</v>
      </c>
      <c r="N18" s="5">
        <f>MAX(0,I18*'Pesos GPS'!C$13+J18*'Pesos GPS'!C$14+K18*'Pesos GPS'!C$15+L18*'Pesos GPS'!C$16+'Pesos GPS'!C$17)</f>
        <v>0</v>
      </c>
      <c r="O18" s="5">
        <f>MAX(0,I18*'Pesos GPS'!D$13+J18*'Pesos GPS'!D$14+K18*'Pesos GPS'!D$15+L18*'Pesos GPS'!D$16+'Pesos GPS'!D$17)</f>
        <v>4.336754908</v>
      </c>
      <c r="P18" s="5">
        <f>MAX(0,I18*'Pesos GPS'!E$13+J18*'Pesos GPS'!E$14+K18*'Pesos GPS'!E$15+L18*'Pesos GPS'!E$16+'Pesos GPS'!E$17)</f>
        <v>3.453202214</v>
      </c>
      <c r="Q18" s="5">
        <f>MAX(0,I18*'Pesos GPS'!F$13+J18*'Pesos GPS'!F$14+K18*'Pesos GPS'!F$15+L18*'Pesos GPS'!F$16+'Pesos GPS'!F$17)</f>
        <v>0</v>
      </c>
      <c r="R18" s="5">
        <f>MAX(0,I18*'Pesos GPS'!G$13+J18*'Pesos GPS'!G$14+K18*'Pesos GPS'!G$15+L18*'Pesos GPS'!G$16+'Pesos GPS'!G$17)</f>
        <v>1.081375186</v>
      </c>
      <c r="S18" s="5">
        <f>MAX(0,I18*'Pesos GPS'!H$13+J18*'Pesos GPS'!H$14+K18*'Pesos GPS'!H$15+L18*'Pesos GPS'!H$16+'Pesos GPS'!H$17)</f>
        <v>0</v>
      </c>
      <c r="T18" s="5">
        <f>MAX(0,I18*'Pesos GPS'!I$13+J18*'Pesos GPS'!I$14+K18*'Pesos GPS'!I$15+L18*'Pesos GPS'!I$16+'Pesos GPS'!I$17)</f>
        <v>0</v>
      </c>
      <c r="U18" s="5">
        <f>M18*'Pesos GPS'!$B$22+N18*'Pesos GPS'!$B$23+O18*'Pesos GPS'!$B$24+P18*'Pesos GPS'!$B$25+Q18*'Pesos GPS'!$B$26+R18*'Pesos GPS'!$B$27+S18*'Pesos GPS'!$B$28+T18*'Pesos GPS'!$B$29+'Pesos GPS'!$B$30</f>
        <v>-4.201598728</v>
      </c>
      <c r="V18" s="5">
        <f t="shared" si="1"/>
        <v>0.01475077903</v>
      </c>
      <c r="W18" s="3">
        <f t="shared" si="2"/>
        <v>0</v>
      </c>
      <c r="X18" s="3">
        <f t="shared" si="3"/>
        <v>1</v>
      </c>
      <c r="Y18" s="9">
        <f t="shared" si="4"/>
        <v>0</v>
      </c>
      <c r="Z18" s="9">
        <v>0.014750779033729728</v>
      </c>
      <c r="AA18" s="3" t="str">
        <f t="shared" si="5"/>
        <v>OK</v>
      </c>
    </row>
    <row r="19">
      <c r="A19" s="3">
        <v>18.0</v>
      </c>
      <c r="B19" s="3" t="s">
        <v>15</v>
      </c>
      <c r="C19" s="7">
        <v>40.69554</v>
      </c>
      <c r="D19" s="7">
        <v>-73.996376</v>
      </c>
      <c r="E19" s="3">
        <v>0.0</v>
      </c>
      <c r="F19" s="3" t="s">
        <v>55</v>
      </c>
      <c r="G19" s="5">
        <f>(C19-'Pesos GPS'!$L$4)/'Pesos GPS'!$L$5</f>
        <v>0.9934722759</v>
      </c>
      <c r="H19" s="5">
        <f>(D19-'Pesos GPS'!$L$6)/'Pesos GPS'!$L$7</f>
        <v>-0.999902481</v>
      </c>
      <c r="I19" s="5">
        <f>MAX(0,G19*'Pesos GPS'!B$6+H19*'Pesos GPS'!B$7+'Pesos GPS'!B$8)</f>
        <v>2.665374552</v>
      </c>
      <c r="J19" s="5">
        <f>MAX(0,G19*'Pesos GPS'!C$6+H19*'Pesos GPS'!C$7+'Pesos GPS'!C$8)</f>
        <v>0.3541072851</v>
      </c>
      <c r="K19" s="5">
        <f>MAX(0,G19*'Pesos GPS'!D$6+H19*'Pesos GPS'!D$7+'Pesos GPS'!D$8)</f>
        <v>0.4708459712</v>
      </c>
      <c r="L19" s="5">
        <f>MAX(0,G19*'Pesos GPS'!E$6+H19*'Pesos GPS'!E$7+'Pesos GPS'!E$8)</f>
        <v>1.781345183</v>
      </c>
      <c r="M19" s="5">
        <f>MAX(0,I19*'Pesos GPS'!B$13+J19*'Pesos GPS'!B$14+K19*'Pesos GPS'!B$15+L19*'Pesos GPS'!B$16+'Pesos GPS'!B$17)</f>
        <v>0</v>
      </c>
      <c r="N19" s="5">
        <f>MAX(0,I19*'Pesos GPS'!C$13+J19*'Pesos GPS'!C$14+K19*'Pesos GPS'!C$15+L19*'Pesos GPS'!C$16+'Pesos GPS'!C$17)</f>
        <v>0</v>
      </c>
      <c r="O19" s="5">
        <f>MAX(0,I19*'Pesos GPS'!D$13+J19*'Pesos GPS'!D$14+K19*'Pesos GPS'!D$15+L19*'Pesos GPS'!D$16+'Pesos GPS'!D$17)</f>
        <v>4.329158533</v>
      </c>
      <c r="P19" s="5">
        <f>MAX(0,I19*'Pesos GPS'!E$13+J19*'Pesos GPS'!E$14+K19*'Pesos GPS'!E$15+L19*'Pesos GPS'!E$16+'Pesos GPS'!E$17)</f>
        <v>3.43933586</v>
      </c>
      <c r="Q19" s="5">
        <f>MAX(0,I19*'Pesos GPS'!F$13+J19*'Pesos GPS'!F$14+K19*'Pesos GPS'!F$15+L19*'Pesos GPS'!F$16+'Pesos GPS'!F$17)</f>
        <v>0</v>
      </c>
      <c r="R19" s="5">
        <f>MAX(0,I19*'Pesos GPS'!G$13+J19*'Pesos GPS'!G$14+K19*'Pesos GPS'!G$15+L19*'Pesos GPS'!G$16+'Pesos GPS'!G$17)</f>
        <v>1.077662755</v>
      </c>
      <c r="S19" s="5">
        <f>MAX(0,I19*'Pesos GPS'!H$13+J19*'Pesos GPS'!H$14+K19*'Pesos GPS'!H$15+L19*'Pesos GPS'!H$16+'Pesos GPS'!H$17)</f>
        <v>0.003030830317</v>
      </c>
      <c r="T19" s="5">
        <f>MAX(0,I19*'Pesos GPS'!I$13+J19*'Pesos GPS'!I$14+K19*'Pesos GPS'!I$15+L19*'Pesos GPS'!I$16+'Pesos GPS'!I$17)</f>
        <v>0</v>
      </c>
      <c r="U19" s="5">
        <f>M19*'Pesos GPS'!$B$22+N19*'Pesos GPS'!$B$23+O19*'Pesos GPS'!$B$24+P19*'Pesos GPS'!$B$25+Q19*'Pesos GPS'!$B$26+R19*'Pesos GPS'!$B$27+S19*'Pesos GPS'!$B$28+T19*'Pesos GPS'!$B$29+'Pesos GPS'!$B$30</f>
        <v>-4.184728748</v>
      </c>
      <c r="V19" s="5">
        <f t="shared" si="1"/>
        <v>0.01499797141</v>
      </c>
      <c r="W19" s="3">
        <f t="shared" si="2"/>
        <v>0</v>
      </c>
      <c r="X19" s="3">
        <f t="shared" si="3"/>
        <v>1</v>
      </c>
      <c r="Y19" s="9">
        <f t="shared" si="4"/>
        <v>0</v>
      </c>
      <c r="Z19" s="9">
        <v>0.01499797141247249</v>
      </c>
      <c r="AA19" s="3" t="str">
        <f t="shared" si="5"/>
        <v>OK</v>
      </c>
    </row>
    <row r="20">
      <c r="A20" s="3">
        <v>19.0</v>
      </c>
      <c r="B20" s="3" t="s">
        <v>15</v>
      </c>
      <c r="C20" s="7">
        <v>40.728612</v>
      </c>
      <c r="D20" s="7">
        <v>-74.009916</v>
      </c>
      <c r="E20" s="3">
        <v>0.0</v>
      </c>
      <c r="F20" s="3" t="s">
        <v>55</v>
      </c>
      <c r="G20" s="5">
        <f>(C20-'Pesos GPS'!$L$4)/'Pesos GPS'!$L$5</f>
        <v>1.006608577</v>
      </c>
      <c r="H20" s="5">
        <f>(D20-'Pesos GPS'!$L$6)/'Pesos GPS'!$L$7</f>
        <v>-1.000029227</v>
      </c>
      <c r="I20" s="5">
        <f>MAX(0,G20*'Pesos GPS'!B$6+H20*'Pesos GPS'!B$7+'Pesos GPS'!B$8)</f>
        <v>2.671449177</v>
      </c>
      <c r="J20" s="5">
        <f>MAX(0,G20*'Pesos GPS'!C$6+H20*'Pesos GPS'!C$7+'Pesos GPS'!C$8)</f>
        <v>0.3409885028</v>
      </c>
      <c r="K20" s="5">
        <f>MAX(0,G20*'Pesos GPS'!D$6+H20*'Pesos GPS'!D$7+'Pesos GPS'!D$8)</f>
        <v>0.4800371773</v>
      </c>
      <c r="L20" s="5">
        <f>MAX(0,G20*'Pesos GPS'!E$6+H20*'Pesos GPS'!E$7+'Pesos GPS'!E$8)</f>
        <v>1.796092112</v>
      </c>
      <c r="M20" s="5">
        <f>MAX(0,I20*'Pesos GPS'!B$13+J20*'Pesos GPS'!B$14+K20*'Pesos GPS'!B$15+L20*'Pesos GPS'!B$16+'Pesos GPS'!B$17)</f>
        <v>0</v>
      </c>
      <c r="N20" s="5">
        <f>MAX(0,I20*'Pesos GPS'!C$13+J20*'Pesos GPS'!C$14+K20*'Pesos GPS'!C$15+L20*'Pesos GPS'!C$16+'Pesos GPS'!C$17)</f>
        <v>0</v>
      </c>
      <c r="O20" s="5">
        <f>MAX(0,I20*'Pesos GPS'!D$13+J20*'Pesos GPS'!D$14+K20*'Pesos GPS'!D$15+L20*'Pesos GPS'!D$16+'Pesos GPS'!D$17)</f>
        <v>4.340654201</v>
      </c>
      <c r="P20" s="5">
        <f>MAX(0,I20*'Pesos GPS'!E$13+J20*'Pesos GPS'!E$14+K20*'Pesos GPS'!E$15+L20*'Pesos GPS'!E$16+'Pesos GPS'!E$17)</f>
        <v>3.459051958</v>
      </c>
      <c r="Q20" s="5">
        <f>MAX(0,I20*'Pesos GPS'!F$13+J20*'Pesos GPS'!F$14+K20*'Pesos GPS'!F$15+L20*'Pesos GPS'!F$16+'Pesos GPS'!F$17)</f>
        <v>0</v>
      </c>
      <c r="R20" s="5">
        <f>MAX(0,I20*'Pesos GPS'!G$13+J20*'Pesos GPS'!G$14+K20*'Pesos GPS'!G$15+L20*'Pesos GPS'!G$16+'Pesos GPS'!G$17)</f>
        <v>1.083013448</v>
      </c>
      <c r="S20" s="5">
        <f>MAX(0,I20*'Pesos GPS'!H$13+J20*'Pesos GPS'!H$14+K20*'Pesos GPS'!H$15+L20*'Pesos GPS'!H$16+'Pesos GPS'!H$17)</f>
        <v>0</v>
      </c>
      <c r="T20" s="5">
        <f>MAX(0,I20*'Pesos GPS'!I$13+J20*'Pesos GPS'!I$14+K20*'Pesos GPS'!I$15+L20*'Pesos GPS'!I$16+'Pesos GPS'!I$17)</f>
        <v>0</v>
      </c>
      <c r="U20" s="5">
        <f>M20*'Pesos GPS'!$B$22+N20*'Pesos GPS'!$B$23+O20*'Pesos GPS'!$B$24+P20*'Pesos GPS'!$B$25+Q20*'Pesos GPS'!$B$26+R20*'Pesos GPS'!$B$27+S20*'Pesos GPS'!$B$28+T20*'Pesos GPS'!$B$29+'Pesos GPS'!$B$30</f>
        <v>-4.209065599</v>
      </c>
      <c r="V20" s="5">
        <f t="shared" si="1"/>
        <v>0.01464265382</v>
      </c>
      <c r="W20" s="3">
        <f t="shared" si="2"/>
        <v>0</v>
      </c>
      <c r="X20" s="3">
        <f t="shared" si="3"/>
        <v>1</v>
      </c>
      <c r="Y20" s="9">
        <f t="shared" si="4"/>
        <v>0</v>
      </c>
      <c r="Z20" s="9">
        <v>0.014642653822246957</v>
      </c>
      <c r="AA20" s="3" t="str">
        <f t="shared" si="5"/>
        <v>OK</v>
      </c>
    </row>
    <row r="21" ht="15.75" customHeight="1">
      <c r="A21" s="3">
        <v>20.0</v>
      </c>
      <c r="B21" s="3" t="s">
        <v>15</v>
      </c>
      <c r="C21" s="7">
        <v>40.711901</v>
      </c>
      <c r="D21" s="7">
        <v>-74.007019</v>
      </c>
      <c r="E21" s="3">
        <v>0.0</v>
      </c>
      <c r="F21" s="3" t="s">
        <v>55</v>
      </c>
      <c r="G21" s="5">
        <f>(C21-'Pesos GPS'!$L$4)/'Pesos GPS'!$L$5</f>
        <v>0.9999709161</v>
      </c>
      <c r="H21" s="5">
        <f>(D21-'Pesos GPS'!$L$6)/'Pesos GPS'!$L$7</f>
        <v>-1.000002109</v>
      </c>
      <c r="I21" s="5">
        <f>MAX(0,G21*'Pesos GPS'!B$6+H21*'Pesos GPS'!B$7+'Pesos GPS'!B$8)</f>
        <v>2.668456843</v>
      </c>
      <c r="J21" s="5">
        <f>MAX(0,G21*'Pesos GPS'!C$6+H21*'Pesos GPS'!C$7+'Pesos GPS'!C$8)</f>
        <v>0.3476664468</v>
      </c>
      <c r="K21" s="5">
        <f>MAX(0,G21*'Pesos GPS'!D$6+H21*'Pesos GPS'!D$7+'Pesos GPS'!D$8)</f>
        <v>0.4753864066</v>
      </c>
      <c r="L21" s="5">
        <f>MAX(0,G21*'Pesos GPS'!E$6+H21*'Pesos GPS'!E$7+'Pesos GPS'!E$8)</f>
        <v>1.788658838</v>
      </c>
      <c r="M21" s="5">
        <f>MAX(0,I21*'Pesos GPS'!B$13+J21*'Pesos GPS'!B$14+K21*'Pesos GPS'!B$15+L21*'Pesos GPS'!B$16+'Pesos GPS'!B$17)</f>
        <v>0</v>
      </c>
      <c r="N21" s="5">
        <f>MAX(0,I21*'Pesos GPS'!C$13+J21*'Pesos GPS'!C$14+K21*'Pesos GPS'!C$15+L21*'Pesos GPS'!C$16+'Pesos GPS'!C$17)</f>
        <v>0</v>
      </c>
      <c r="O21" s="5">
        <f>MAX(0,I21*'Pesos GPS'!D$13+J21*'Pesos GPS'!D$14+K21*'Pesos GPS'!D$15+L21*'Pesos GPS'!D$16+'Pesos GPS'!D$17)</f>
        <v>4.334965052</v>
      </c>
      <c r="P21" s="5">
        <f>MAX(0,I21*'Pesos GPS'!E$13+J21*'Pesos GPS'!E$14+K21*'Pesos GPS'!E$15+L21*'Pesos GPS'!E$16+'Pesos GPS'!E$17)</f>
        <v>3.449153607</v>
      </c>
      <c r="Q21" s="5">
        <f>MAX(0,I21*'Pesos GPS'!F$13+J21*'Pesos GPS'!F$14+K21*'Pesos GPS'!F$15+L21*'Pesos GPS'!F$16+'Pesos GPS'!F$17)</f>
        <v>0</v>
      </c>
      <c r="R21" s="5">
        <f>MAX(0,I21*'Pesos GPS'!G$13+J21*'Pesos GPS'!G$14+K21*'Pesos GPS'!G$15+L21*'Pesos GPS'!G$16+'Pesos GPS'!G$17)</f>
        <v>1.080335696</v>
      </c>
      <c r="S21" s="5">
        <f>MAX(0,I21*'Pesos GPS'!H$13+J21*'Pesos GPS'!H$14+K21*'Pesos GPS'!H$15+L21*'Pesos GPS'!H$16+'Pesos GPS'!H$17)</f>
        <v>0</v>
      </c>
      <c r="T21" s="5">
        <f>MAX(0,I21*'Pesos GPS'!I$13+J21*'Pesos GPS'!I$14+K21*'Pesos GPS'!I$15+L21*'Pesos GPS'!I$16+'Pesos GPS'!I$17)</f>
        <v>0</v>
      </c>
      <c r="U21" s="5">
        <f>M21*'Pesos GPS'!$B$22+N21*'Pesos GPS'!$B$23+O21*'Pesos GPS'!$B$24+P21*'Pesos GPS'!$B$25+Q21*'Pesos GPS'!$B$26+R21*'Pesos GPS'!$B$27+S21*'Pesos GPS'!$B$28+T21*'Pesos GPS'!$B$29+'Pesos GPS'!$B$30</f>
        <v>-4.197406749</v>
      </c>
      <c r="V21" s="5">
        <f t="shared" si="1"/>
        <v>0.01481182597</v>
      </c>
      <c r="W21" s="3">
        <f t="shared" si="2"/>
        <v>0</v>
      </c>
      <c r="X21" s="3">
        <f t="shared" si="3"/>
        <v>1</v>
      </c>
      <c r="Y21" s="9">
        <f t="shared" si="4"/>
        <v>0</v>
      </c>
      <c r="Z21" s="9">
        <v>0.014811825968376309</v>
      </c>
      <c r="AA21" s="3" t="str">
        <f t="shared" si="5"/>
        <v>OK</v>
      </c>
    </row>
    <row r="22" ht="15.75" customHeight="1">
      <c r="A22" s="3">
        <v>21.0</v>
      </c>
      <c r="B22" s="3" t="s">
        <v>15</v>
      </c>
      <c r="C22" s="7">
        <v>40.709472</v>
      </c>
      <c r="D22" s="7">
        <v>-74.02237</v>
      </c>
      <c r="E22" s="3">
        <v>0.0</v>
      </c>
      <c r="F22" s="3" t="s">
        <v>55</v>
      </c>
      <c r="G22" s="5">
        <f>(C22-'Pesos GPS'!$L$4)/'Pesos GPS'!$L$5</f>
        <v>0.9990061097</v>
      </c>
      <c r="H22" s="5">
        <f>(D22-'Pesos GPS'!$L$6)/'Pesos GPS'!$L$7</f>
        <v>-1.000145807</v>
      </c>
      <c r="I22" s="5">
        <f>MAX(0,G22*'Pesos GPS'!B$6+H22*'Pesos GPS'!B$7+'Pesos GPS'!B$8)</f>
        <v>2.668330261</v>
      </c>
      <c r="J22" s="5">
        <f>MAX(0,G22*'Pesos GPS'!C$6+H22*'Pesos GPS'!C$7+'Pesos GPS'!C$8)</f>
        <v>0.3488335675</v>
      </c>
      <c r="K22" s="5">
        <f>MAX(0,G22*'Pesos GPS'!D$6+H22*'Pesos GPS'!D$7+'Pesos GPS'!D$8)</f>
        <v>0.4746842824</v>
      </c>
      <c r="L22" s="5">
        <f>MAX(0,G22*'Pesos GPS'!E$6+H22*'Pesos GPS'!E$7+'Pesos GPS'!E$8)</f>
        <v>1.787651254</v>
      </c>
      <c r="M22" s="5">
        <f>MAX(0,I22*'Pesos GPS'!B$13+J22*'Pesos GPS'!B$14+K22*'Pesos GPS'!B$15+L22*'Pesos GPS'!B$16+'Pesos GPS'!B$17)</f>
        <v>0</v>
      </c>
      <c r="N22" s="5">
        <f>MAX(0,I22*'Pesos GPS'!C$13+J22*'Pesos GPS'!C$14+K22*'Pesos GPS'!C$15+L22*'Pesos GPS'!C$16+'Pesos GPS'!C$17)</f>
        <v>0</v>
      </c>
      <c r="O22" s="5">
        <f>MAX(0,I22*'Pesos GPS'!D$13+J22*'Pesos GPS'!D$14+K22*'Pesos GPS'!D$15+L22*'Pesos GPS'!D$16+'Pesos GPS'!D$17)</f>
        <v>4.334615974</v>
      </c>
      <c r="P22" s="5">
        <f>MAX(0,I22*'Pesos GPS'!E$13+J22*'Pesos GPS'!E$14+K22*'Pesos GPS'!E$15+L22*'Pesos GPS'!E$16+'Pesos GPS'!E$17)</f>
        <v>3.447970845</v>
      </c>
      <c r="Q22" s="5">
        <f>MAX(0,I22*'Pesos GPS'!F$13+J22*'Pesos GPS'!F$14+K22*'Pesos GPS'!F$15+L22*'Pesos GPS'!F$16+'Pesos GPS'!F$17)</f>
        <v>0</v>
      </c>
      <c r="R22" s="5">
        <f>MAX(0,I22*'Pesos GPS'!G$13+J22*'Pesos GPS'!G$14+K22*'Pesos GPS'!G$15+L22*'Pesos GPS'!G$16+'Pesos GPS'!G$17)</f>
        <v>1.080050063</v>
      </c>
      <c r="S22" s="5">
        <f>MAX(0,I22*'Pesos GPS'!H$13+J22*'Pesos GPS'!H$14+K22*'Pesos GPS'!H$15+L22*'Pesos GPS'!H$16+'Pesos GPS'!H$17)</f>
        <v>0.0001872551064</v>
      </c>
      <c r="T22" s="5">
        <f>MAX(0,I22*'Pesos GPS'!I$13+J22*'Pesos GPS'!I$14+K22*'Pesos GPS'!I$15+L22*'Pesos GPS'!I$16+'Pesos GPS'!I$17)</f>
        <v>0</v>
      </c>
      <c r="U22" s="5">
        <f>M22*'Pesos GPS'!$B$22+N22*'Pesos GPS'!$B$23+O22*'Pesos GPS'!$B$24+P22*'Pesos GPS'!$B$25+Q22*'Pesos GPS'!$B$26+R22*'Pesos GPS'!$B$27+S22*'Pesos GPS'!$B$28+T22*'Pesos GPS'!$B$29+'Pesos GPS'!$B$30</f>
        <v>-4.196310754</v>
      </c>
      <c r="V22" s="5">
        <f t="shared" si="1"/>
        <v>0.01482782772</v>
      </c>
      <c r="W22" s="3">
        <f t="shared" si="2"/>
        <v>0</v>
      </c>
      <c r="X22" s="3">
        <f t="shared" si="3"/>
        <v>1</v>
      </c>
      <c r="Y22" s="9">
        <f t="shared" si="4"/>
        <v>0</v>
      </c>
      <c r="Z22" s="9">
        <v>0.014827827718047684</v>
      </c>
      <c r="AA22" s="3" t="str">
        <f t="shared" si="5"/>
        <v>OK</v>
      </c>
    </row>
    <row r="23" ht="15.75" customHeight="1">
      <c r="A23" s="3">
        <v>22.0</v>
      </c>
      <c r="B23" s="3" t="s">
        <v>15</v>
      </c>
      <c r="C23" s="7">
        <v>40.700543</v>
      </c>
      <c r="D23" s="7">
        <v>-73.994848</v>
      </c>
      <c r="E23" s="3">
        <v>0.0</v>
      </c>
      <c r="F23" s="3" t="s">
        <v>55</v>
      </c>
      <c r="G23" s="5">
        <f>(C23-'Pesos GPS'!$L$4)/'Pesos GPS'!$L$5</f>
        <v>0.9954594831</v>
      </c>
      <c r="H23" s="5">
        <f>(D23-'Pesos GPS'!$L$6)/'Pesos GPS'!$L$7</f>
        <v>-0.9998881775</v>
      </c>
      <c r="I23" s="5">
        <f>MAX(0,G23*'Pesos GPS'!B$6+H23*'Pesos GPS'!B$7+'Pesos GPS'!B$8)</f>
        <v>2.666223577</v>
      </c>
      <c r="J23" s="5">
        <f>MAX(0,G23*'Pesos GPS'!C$6+H23*'Pesos GPS'!C$7+'Pesos GPS'!C$8)</f>
        <v>0.3520781815</v>
      </c>
      <c r="K23" s="5">
        <f>MAX(0,G23*'Pesos GPS'!D$6+H23*'Pesos GPS'!D$7+'Pesos GPS'!D$8)</f>
        <v>0.4722423026</v>
      </c>
      <c r="L23" s="5">
        <f>MAX(0,G23*'Pesos GPS'!E$6+H23*'Pesos GPS'!E$7+'Pesos GPS'!E$8)</f>
        <v>1.783559517</v>
      </c>
      <c r="M23" s="5">
        <f>MAX(0,I23*'Pesos GPS'!B$13+J23*'Pesos GPS'!B$14+K23*'Pesos GPS'!B$15+L23*'Pesos GPS'!B$16+'Pesos GPS'!B$17)</f>
        <v>0</v>
      </c>
      <c r="N23" s="5">
        <f>MAX(0,I23*'Pesos GPS'!C$13+J23*'Pesos GPS'!C$14+K23*'Pesos GPS'!C$15+L23*'Pesos GPS'!C$16+'Pesos GPS'!C$17)</f>
        <v>0</v>
      </c>
      <c r="O23" s="5">
        <f>MAX(0,I23*'Pesos GPS'!D$13+J23*'Pesos GPS'!D$14+K23*'Pesos GPS'!D$15+L23*'Pesos GPS'!D$16+'Pesos GPS'!D$17)</f>
        <v>4.330789198</v>
      </c>
      <c r="P23" s="5">
        <f>MAX(0,I23*'Pesos GPS'!E$13+J23*'Pesos GPS'!E$14+K23*'Pesos GPS'!E$15+L23*'Pesos GPS'!E$16+'Pesos GPS'!E$17)</f>
        <v>3.442260386</v>
      </c>
      <c r="Q23" s="5">
        <f>MAX(0,I23*'Pesos GPS'!F$13+J23*'Pesos GPS'!F$14+K23*'Pesos GPS'!F$15+L23*'Pesos GPS'!F$16+'Pesos GPS'!F$17)</f>
        <v>0</v>
      </c>
      <c r="R23" s="5">
        <f>MAX(0,I23*'Pesos GPS'!G$13+J23*'Pesos GPS'!G$14+K23*'Pesos GPS'!G$15+L23*'Pesos GPS'!G$16+'Pesos GPS'!G$17)</f>
        <v>1.078448699</v>
      </c>
      <c r="S23" s="5">
        <f>MAX(0,I23*'Pesos GPS'!H$13+J23*'Pesos GPS'!H$14+K23*'Pesos GPS'!H$15+L23*'Pesos GPS'!H$16+'Pesos GPS'!H$17)</f>
        <v>0.001929650136</v>
      </c>
      <c r="T23" s="5">
        <f>MAX(0,I23*'Pesos GPS'!I$13+J23*'Pesos GPS'!I$14+K23*'Pesos GPS'!I$15+L23*'Pesos GPS'!I$16+'Pesos GPS'!I$17)</f>
        <v>0</v>
      </c>
      <c r="U23" s="5">
        <f>M23*'Pesos GPS'!$B$22+N23*'Pesos GPS'!$B$23+O23*'Pesos GPS'!$B$24+P23*'Pesos GPS'!$B$25+Q23*'Pesos GPS'!$B$26+R23*'Pesos GPS'!$B$27+S23*'Pesos GPS'!$B$28+T23*'Pesos GPS'!$B$29+'Pesos GPS'!$B$30</f>
        <v>-4.188460413</v>
      </c>
      <c r="V23" s="5">
        <f t="shared" si="1"/>
        <v>0.01494294307</v>
      </c>
      <c r="W23" s="3">
        <f t="shared" si="2"/>
        <v>0</v>
      </c>
      <c r="X23" s="3">
        <f t="shared" si="3"/>
        <v>1</v>
      </c>
      <c r="Y23" s="9">
        <f t="shared" si="4"/>
        <v>0</v>
      </c>
      <c r="Z23" s="9">
        <v>0.014942943067113934</v>
      </c>
      <c r="AA23" s="3" t="str">
        <f t="shared" si="5"/>
        <v>OK</v>
      </c>
    </row>
    <row r="24" ht="15.75" customHeight="1">
      <c r="A24" s="3">
        <v>23.0</v>
      </c>
      <c r="B24" s="3" t="s">
        <v>15</v>
      </c>
      <c r="C24" s="7">
        <v>40.734806</v>
      </c>
      <c r="D24" s="7">
        <v>-74.017375</v>
      </c>
      <c r="E24" s="3">
        <v>0.0</v>
      </c>
      <c r="F24" s="3" t="s">
        <v>55</v>
      </c>
      <c r="G24" s="5">
        <f>(C24-'Pesos GPS'!$L$4)/'Pesos GPS'!$L$5</f>
        <v>1.009068853</v>
      </c>
      <c r="H24" s="5">
        <f>(D24-'Pesos GPS'!$L$6)/'Pesos GPS'!$L$7</f>
        <v>-1.00009905</v>
      </c>
      <c r="I24" s="5">
        <f>MAX(0,G24*'Pesos GPS'!B$6+H24*'Pesos GPS'!B$7+'Pesos GPS'!B$8)</f>
        <v>2.672683136</v>
      </c>
      <c r="J24" s="5">
        <f>MAX(0,G24*'Pesos GPS'!C$6+H24*'Pesos GPS'!C$7+'Pesos GPS'!C$8)</f>
        <v>0.3385928307</v>
      </c>
      <c r="K24" s="5">
        <f>MAX(0,G24*'Pesos GPS'!D$6+H24*'Pesos GPS'!D$7+'Pesos GPS'!D$8)</f>
        <v>0.4817504302</v>
      </c>
      <c r="L24" s="5">
        <f>MAX(0,G24*'Pesos GPS'!E$6+H24*'Pesos GPS'!E$7+'Pesos GPS'!E$8)</f>
        <v>1.798876784</v>
      </c>
      <c r="M24" s="5">
        <f>MAX(0,I24*'Pesos GPS'!B$13+J24*'Pesos GPS'!B$14+K24*'Pesos GPS'!B$15+L24*'Pesos GPS'!B$16+'Pesos GPS'!B$17)</f>
        <v>0</v>
      </c>
      <c r="N24" s="5">
        <f>MAX(0,I24*'Pesos GPS'!C$13+J24*'Pesos GPS'!C$14+K24*'Pesos GPS'!C$15+L24*'Pesos GPS'!C$16+'Pesos GPS'!C$17)</f>
        <v>0</v>
      </c>
      <c r="O24" s="5">
        <f>MAX(0,I24*'Pesos GPS'!D$13+J24*'Pesos GPS'!D$14+K24*'Pesos GPS'!D$15+L24*'Pesos GPS'!D$16+'Pesos GPS'!D$17)</f>
        <v>4.342956365</v>
      </c>
      <c r="P24" s="5">
        <f>MAX(0,I24*'Pesos GPS'!E$13+J24*'Pesos GPS'!E$14+K24*'Pesos GPS'!E$15+L24*'Pesos GPS'!E$16+'Pesos GPS'!E$17)</f>
        <v>3.462824461</v>
      </c>
      <c r="Q24" s="5">
        <f>MAX(0,I24*'Pesos GPS'!F$13+J24*'Pesos GPS'!F$14+K24*'Pesos GPS'!F$15+L24*'Pesos GPS'!F$16+'Pesos GPS'!F$17)</f>
        <v>0</v>
      </c>
      <c r="R24" s="5">
        <f>MAX(0,I24*'Pesos GPS'!G$13+J24*'Pesos GPS'!G$14+K24*'Pesos GPS'!G$15+L24*'Pesos GPS'!G$16+'Pesos GPS'!G$17)</f>
        <v>1.084047904</v>
      </c>
      <c r="S24" s="5">
        <f>MAX(0,I24*'Pesos GPS'!H$13+J24*'Pesos GPS'!H$14+K24*'Pesos GPS'!H$15+L24*'Pesos GPS'!H$16+'Pesos GPS'!H$17)</f>
        <v>0</v>
      </c>
      <c r="T24" s="5">
        <f>MAX(0,I24*'Pesos GPS'!I$13+J24*'Pesos GPS'!I$14+K24*'Pesos GPS'!I$15+L24*'Pesos GPS'!I$16+'Pesos GPS'!I$17)</f>
        <v>0</v>
      </c>
      <c r="U24" s="5">
        <f>M24*'Pesos GPS'!$B$22+N24*'Pesos GPS'!$B$23+O24*'Pesos GPS'!$B$24+P24*'Pesos GPS'!$B$25+Q24*'Pesos GPS'!$B$26+R24*'Pesos GPS'!$B$27+S24*'Pesos GPS'!$B$28+T24*'Pesos GPS'!$B$29+'Pesos GPS'!$B$30</f>
        <v>-4.213652832</v>
      </c>
      <c r="V24" s="5">
        <f t="shared" si="1"/>
        <v>0.01457661525</v>
      </c>
      <c r="W24" s="3">
        <f t="shared" si="2"/>
        <v>0</v>
      </c>
      <c r="X24" s="3">
        <f t="shared" si="3"/>
        <v>1</v>
      </c>
      <c r="Y24" s="9">
        <f t="shared" si="4"/>
        <v>0</v>
      </c>
      <c r="Z24" s="9">
        <v>0.014576615250065051</v>
      </c>
      <c r="AA24" s="3" t="str">
        <f t="shared" si="5"/>
        <v>OK</v>
      </c>
    </row>
    <row r="25" ht="15.75" customHeight="1">
      <c r="A25" s="3">
        <v>24.0</v>
      </c>
      <c r="B25" s="3" t="s">
        <v>15</v>
      </c>
      <c r="C25" s="7">
        <v>40.710018</v>
      </c>
      <c r="D25" s="7">
        <v>-74.03664</v>
      </c>
      <c r="E25" s="3">
        <v>0.0</v>
      </c>
      <c r="F25" s="3" t="s">
        <v>55</v>
      </c>
      <c r="G25" s="5">
        <f>(C25-'Pesos GPS'!$L$4)/'Pesos GPS'!$L$5</f>
        <v>0.9992229826</v>
      </c>
      <c r="H25" s="5">
        <f>(D25-'Pesos GPS'!$L$6)/'Pesos GPS'!$L$7</f>
        <v>-1.000279387</v>
      </c>
      <c r="I25" s="5">
        <f>MAX(0,G25*'Pesos GPS'!B$6+H25*'Pesos GPS'!B$7+'Pesos GPS'!B$8)</f>
        <v>2.668705175</v>
      </c>
      <c r="J25" s="5">
        <f>MAX(0,G25*'Pesos GPS'!C$6+H25*'Pesos GPS'!C$7+'Pesos GPS'!C$8)</f>
        <v>0.3487919484</v>
      </c>
      <c r="K25" s="5">
        <f>MAX(0,G25*'Pesos GPS'!D$6+H25*'Pesos GPS'!D$7+'Pesos GPS'!D$8)</f>
        <v>0.4748127627</v>
      </c>
      <c r="L25" s="5">
        <f>MAX(0,G25*'Pesos GPS'!E$6+H25*'Pesos GPS'!E$7+'Pesos GPS'!E$8)</f>
        <v>1.787959612</v>
      </c>
      <c r="M25" s="5">
        <f>MAX(0,I25*'Pesos GPS'!B$13+J25*'Pesos GPS'!B$14+K25*'Pesos GPS'!B$15+L25*'Pesos GPS'!B$16+'Pesos GPS'!B$17)</f>
        <v>0</v>
      </c>
      <c r="N25" s="5">
        <f>MAX(0,I25*'Pesos GPS'!C$13+J25*'Pesos GPS'!C$14+K25*'Pesos GPS'!C$15+L25*'Pesos GPS'!C$16+'Pesos GPS'!C$17)</f>
        <v>0</v>
      </c>
      <c r="O25" s="5">
        <f>MAX(0,I25*'Pesos GPS'!D$13+J25*'Pesos GPS'!D$14+K25*'Pesos GPS'!D$15+L25*'Pesos GPS'!D$16+'Pesos GPS'!D$17)</f>
        <v>4.335231338</v>
      </c>
      <c r="P25" s="5">
        <f>MAX(0,I25*'Pesos GPS'!E$13+J25*'Pesos GPS'!E$14+K25*'Pesos GPS'!E$15+L25*'Pesos GPS'!E$16+'Pesos GPS'!E$17)</f>
        <v>3.448524335</v>
      </c>
      <c r="Q25" s="5">
        <f>MAX(0,I25*'Pesos GPS'!F$13+J25*'Pesos GPS'!F$14+K25*'Pesos GPS'!F$15+L25*'Pesos GPS'!F$16+'Pesos GPS'!F$17)</f>
        <v>0</v>
      </c>
      <c r="R25" s="5">
        <f>MAX(0,I25*'Pesos GPS'!G$13+J25*'Pesos GPS'!G$14+K25*'Pesos GPS'!G$15+L25*'Pesos GPS'!G$16+'Pesos GPS'!G$17)</f>
        <v>1.080230653</v>
      </c>
      <c r="S25" s="5">
        <f>MAX(0,I25*'Pesos GPS'!H$13+J25*'Pesos GPS'!H$14+K25*'Pesos GPS'!H$15+L25*'Pesos GPS'!H$16+'Pesos GPS'!H$17)</f>
        <v>0.0001734666125</v>
      </c>
      <c r="T25" s="5">
        <f>MAX(0,I25*'Pesos GPS'!I$13+J25*'Pesos GPS'!I$14+K25*'Pesos GPS'!I$15+L25*'Pesos GPS'!I$16+'Pesos GPS'!I$17)</f>
        <v>0</v>
      </c>
      <c r="U25" s="5">
        <f>M25*'Pesos GPS'!$B$22+N25*'Pesos GPS'!$B$23+O25*'Pesos GPS'!$B$24+P25*'Pesos GPS'!$B$25+Q25*'Pesos GPS'!$B$26+R25*'Pesos GPS'!$B$27+S25*'Pesos GPS'!$B$28+T25*'Pesos GPS'!$B$29+'Pesos GPS'!$B$30</f>
        <v>-4.197286107</v>
      </c>
      <c r="V25" s="5">
        <f t="shared" si="1"/>
        <v>0.01481358652</v>
      </c>
      <c r="W25" s="3">
        <f t="shared" si="2"/>
        <v>0</v>
      </c>
      <c r="X25" s="3">
        <f t="shared" si="3"/>
        <v>1</v>
      </c>
      <c r="Y25" s="9">
        <f t="shared" si="4"/>
        <v>0</v>
      </c>
      <c r="Z25" s="9">
        <v>0.014813586524632242</v>
      </c>
      <c r="AA25" s="3" t="str">
        <f t="shared" si="5"/>
        <v>OK</v>
      </c>
    </row>
    <row r="26" ht="15.75" customHeight="1">
      <c r="A26" s="3">
        <v>25.0</v>
      </c>
      <c r="B26" s="3" t="s">
        <v>15</v>
      </c>
      <c r="C26" s="7">
        <v>40.70509</v>
      </c>
      <c r="D26" s="7">
        <v>-74.037948</v>
      </c>
      <c r="E26" s="3">
        <v>0.0</v>
      </c>
      <c r="F26" s="3" t="s">
        <v>55</v>
      </c>
      <c r="G26" s="5">
        <f>(C26-'Pesos GPS'!$L$4)/'Pesos GPS'!$L$5</f>
        <v>0.9972655657</v>
      </c>
      <c r="H26" s="5">
        <f>(D26-'Pesos GPS'!$L$6)/'Pesos GPS'!$L$7</f>
        <v>-1.000291631</v>
      </c>
      <c r="I26" s="5">
        <f>MAX(0,G26*'Pesos GPS'!B$6+H26*'Pesos GPS'!B$7+'Pesos GPS'!B$8)</f>
        <v>2.667865025</v>
      </c>
      <c r="J26" s="5">
        <f>MAX(0,G26*'Pesos GPS'!C$6+H26*'Pesos GPS'!C$7+'Pesos GPS'!C$8)</f>
        <v>0.3507881786</v>
      </c>
      <c r="K26" s="5">
        <f>MAX(0,G26*'Pesos GPS'!D$6+H26*'Pesos GPS'!D$7+'Pesos GPS'!D$8)</f>
        <v>0.4734376901</v>
      </c>
      <c r="L26" s="5">
        <f>MAX(0,G26*'Pesos GPS'!E$6+H26*'Pesos GPS'!E$7+'Pesos GPS'!E$8)</f>
        <v>1.785777562</v>
      </c>
      <c r="M26" s="5">
        <f>MAX(0,I26*'Pesos GPS'!B$13+J26*'Pesos GPS'!B$14+K26*'Pesos GPS'!B$15+L26*'Pesos GPS'!B$16+'Pesos GPS'!B$17)</f>
        <v>0</v>
      </c>
      <c r="N26" s="5">
        <f>MAX(0,I26*'Pesos GPS'!C$13+J26*'Pesos GPS'!C$14+K26*'Pesos GPS'!C$15+L26*'Pesos GPS'!C$16+'Pesos GPS'!C$17)</f>
        <v>0</v>
      </c>
      <c r="O26" s="5">
        <f>MAX(0,I26*'Pesos GPS'!D$13+J26*'Pesos GPS'!D$14+K26*'Pesos GPS'!D$15+L26*'Pesos GPS'!D$16+'Pesos GPS'!D$17)</f>
        <v>4.333619146</v>
      </c>
      <c r="P26" s="5">
        <f>MAX(0,I26*'Pesos GPS'!E$13+J26*'Pesos GPS'!E$14+K26*'Pesos GPS'!E$15+L26*'Pesos GPS'!E$16+'Pesos GPS'!E$17)</f>
        <v>3.445640451</v>
      </c>
      <c r="Q26" s="5">
        <f>MAX(0,I26*'Pesos GPS'!F$13+J26*'Pesos GPS'!F$14+K26*'Pesos GPS'!F$15+L26*'Pesos GPS'!F$16+'Pesos GPS'!F$17)</f>
        <v>0</v>
      </c>
      <c r="R26" s="5">
        <f>MAX(0,I26*'Pesos GPS'!G$13+J26*'Pesos GPS'!G$14+K26*'Pesos GPS'!G$15+L26*'Pesos GPS'!G$16+'Pesos GPS'!G$17)</f>
        <v>1.079455197</v>
      </c>
      <c r="S26" s="5">
        <f>MAX(0,I26*'Pesos GPS'!H$13+J26*'Pesos GPS'!H$14+K26*'Pesos GPS'!H$15+L26*'Pesos GPS'!H$16+'Pesos GPS'!H$17)</f>
        <v>0.001256686559</v>
      </c>
      <c r="T26" s="5">
        <f>MAX(0,I26*'Pesos GPS'!I$13+J26*'Pesos GPS'!I$14+K26*'Pesos GPS'!I$15+L26*'Pesos GPS'!I$16+'Pesos GPS'!I$17)</f>
        <v>0</v>
      </c>
      <c r="U26" s="5">
        <f>M26*'Pesos GPS'!$B$22+N26*'Pesos GPS'!$B$23+O26*'Pesos GPS'!$B$24+P26*'Pesos GPS'!$B$25+Q26*'Pesos GPS'!$B$26+R26*'Pesos GPS'!$B$27+S26*'Pesos GPS'!$B$28+T26*'Pesos GPS'!$B$29+'Pesos GPS'!$B$30</f>
        <v>-4.193602628</v>
      </c>
      <c r="V26" s="5">
        <f t="shared" si="1"/>
        <v>0.01486743993</v>
      </c>
      <c r="W26" s="3">
        <f t="shared" si="2"/>
        <v>0</v>
      </c>
      <c r="X26" s="3">
        <f t="shared" si="3"/>
        <v>1</v>
      </c>
      <c r="Y26" s="9">
        <f t="shared" si="4"/>
        <v>0</v>
      </c>
      <c r="Z26" s="9">
        <v>0.014867439934654218</v>
      </c>
      <c r="AA26" s="3" t="str">
        <f t="shared" si="5"/>
        <v>OK</v>
      </c>
    </row>
    <row r="27" ht="15.75" customHeight="1">
      <c r="A27" s="3">
        <v>26.0</v>
      </c>
      <c r="B27" s="3" t="s">
        <v>15</v>
      </c>
      <c r="C27" s="7">
        <v>40.706462</v>
      </c>
      <c r="D27" s="7">
        <v>-74.001685</v>
      </c>
      <c r="E27" s="3">
        <v>0.0</v>
      </c>
      <c r="F27" s="3" t="s">
        <v>55</v>
      </c>
      <c r="G27" s="5">
        <f>(C27-'Pesos GPS'!$L$4)/'Pesos GPS'!$L$5</f>
        <v>0.9978105283</v>
      </c>
      <c r="H27" s="5">
        <f>(D27-'Pesos GPS'!$L$6)/'Pesos GPS'!$L$7</f>
        <v>-0.9999521778</v>
      </c>
      <c r="I27" s="5">
        <f>MAX(0,G27*'Pesos GPS'!B$6+H27*'Pesos GPS'!B$7+'Pesos GPS'!B$8)</f>
        <v>2.667397065</v>
      </c>
      <c r="J27" s="5">
        <f>MAX(0,G27*'Pesos GPS'!C$6+H27*'Pesos GPS'!C$7+'Pesos GPS'!C$8)</f>
        <v>0.3497852494</v>
      </c>
      <c r="K27" s="5">
        <f>MAX(0,G27*'Pesos GPS'!D$6+H27*'Pesos GPS'!D$7+'Pesos GPS'!D$8)</f>
        <v>0.4738799724</v>
      </c>
      <c r="L27" s="5">
        <f>MAX(0,G27*'Pesos GPS'!E$6+H27*'Pesos GPS'!E$7+'Pesos GPS'!E$8)</f>
        <v>1.786219213</v>
      </c>
      <c r="M27" s="5">
        <f>MAX(0,I27*'Pesos GPS'!B$13+J27*'Pesos GPS'!B$14+K27*'Pesos GPS'!B$15+L27*'Pesos GPS'!B$16+'Pesos GPS'!B$17)</f>
        <v>0</v>
      </c>
      <c r="N27" s="5">
        <f>MAX(0,I27*'Pesos GPS'!C$13+J27*'Pesos GPS'!C$14+K27*'Pesos GPS'!C$15+L27*'Pesos GPS'!C$16+'Pesos GPS'!C$17)</f>
        <v>0</v>
      </c>
      <c r="O27" s="5">
        <f>MAX(0,I27*'Pesos GPS'!D$13+J27*'Pesos GPS'!D$14+K27*'Pesos GPS'!D$15+L27*'Pesos GPS'!D$16+'Pesos GPS'!D$17)</f>
        <v>4.33298034</v>
      </c>
      <c r="P27" s="5">
        <f>MAX(0,I27*'Pesos GPS'!E$13+J27*'Pesos GPS'!E$14+K27*'Pesos GPS'!E$15+L27*'Pesos GPS'!E$16+'Pesos GPS'!E$17)</f>
        <v>3.445860677</v>
      </c>
      <c r="Q27" s="5">
        <f>MAX(0,I27*'Pesos GPS'!F$13+J27*'Pesos GPS'!F$14+K27*'Pesos GPS'!F$15+L27*'Pesos GPS'!F$16+'Pesos GPS'!F$17)</f>
        <v>0</v>
      </c>
      <c r="R27" s="5">
        <f>MAX(0,I27*'Pesos GPS'!G$13+J27*'Pesos GPS'!G$14+K27*'Pesos GPS'!G$15+L27*'Pesos GPS'!G$16+'Pesos GPS'!G$17)</f>
        <v>1.079435317</v>
      </c>
      <c r="S27" s="5">
        <f>MAX(0,I27*'Pesos GPS'!H$13+J27*'Pesos GPS'!H$14+K27*'Pesos GPS'!H$15+L27*'Pesos GPS'!H$16+'Pesos GPS'!H$17)</f>
        <v>0.000690560247</v>
      </c>
      <c r="T27" s="5">
        <f>MAX(0,I27*'Pesos GPS'!I$13+J27*'Pesos GPS'!I$14+K27*'Pesos GPS'!I$15+L27*'Pesos GPS'!I$16+'Pesos GPS'!I$17)</f>
        <v>0</v>
      </c>
      <c r="U27" s="5">
        <f>M27*'Pesos GPS'!$B$22+N27*'Pesos GPS'!$B$23+O27*'Pesos GPS'!$B$24+P27*'Pesos GPS'!$B$25+Q27*'Pesos GPS'!$B$26+R27*'Pesos GPS'!$B$27+S27*'Pesos GPS'!$B$28+T27*'Pesos GPS'!$B$29+'Pesos GPS'!$B$30</f>
        <v>-4.193215488</v>
      </c>
      <c r="V27" s="5">
        <f t="shared" si="1"/>
        <v>0.01487311121</v>
      </c>
      <c r="W27" s="3">
        <f t="shared" si="2"/>
        <v>0</v>
      </c>
      <c r="X27" s="3">
        <f t="shared" si="3"/>
        <v>1</v>
      </c>
      <c r="Y27" s="9">
        <f t="shared" si="4"/>
        <v>0</v>
      </c>
      <c r="Z27" s="9">
        <v>0.014873111210042641</v>
      </c>
      <c r="AA27" s="3" t="str">
        <f t="shared" si="5"/>
        <v>OK</v>
      </c>
    </row>
    <row r="28" ht="15.75" customHeight="1">
      <c r="A28" s="3">
        <v>27.0</v>
      </c>
      <c r="B28" s="3" t="s">
        <v>15</v>
      </c>
      <c r="C28" s="7">
        <v>40.722382</v>
      </c>
      <c r="D28" s="7">
        <v>-73.966523</v>
      </c>
      <c r="E28" s="3">
        <v>0.0</v>
      </c>
      <c r="F28" s="3" t="s">
        <v>55</v>
      </c>
      <c r="G28" s="5">
        <f>(C28-'Pesos GPS'!$L$4)/'Pesos GPS'!$L$5</f>
        <v>1.004134002</v>
      </c>
      <c r="H28" s="5">
        <f>(D28-'Pesos GPS'!$L$6)/'Pesos GPS'!$L$7</f>
        <v>-0.999623031</v>
      </c>
      <c r="I28" s="5">
        <f>MAX(0,G28*'Pesos GPS'!B$6+H28*'Pesos GPS'!B$7+'Pesos GPS'!B$8)</f>
        <v>2.66950634</v>
      </c>
      <c r="J28" s="5">
        <f>MAX(0,G28*'Pesos GPS'!C$6+H28*'Pesos GPS'!C$7+'Pesos GPS'!C$8)</f>
        <v>0.3429510401</v>
      </c>
      <c r="K28" s="5">
        <f>MAX(0,G28*'Pesos GPS'!D$6+H28*'Pesos GPS'!D$7+'Pesos GPS'!D$8)</f>
        <v>0.4783734029</v>
      </c>
      <c r="L28" s="5">
        <f>MAX(0,G28*'Pesos GPS'!E$6+H28*'Pesos GPS'!E$7+'Pesos GPS'!E$8)</f>
        <v>1.79312544</v>
      </c>
      <c r="M28" s="5">
        <f>MAX(0,I28*'Pesos GPS'!B$13+J28*'Pesos GPS'!B$14+K28*'Pesos GPS'!B$15+L28*'Pesos GPS'!B$16+'Pesos GPS'!B$17)</f>
        <v>0</v>
      </c>
      <c r="N28" s="5">
        <f>MAX(0,I28*'Pesos GPS'!C$13+J28*'Pesos GPS'!C$14+K28*'Pesos GPS'!C$15+L28*'Pesos GPS'!C$16+'Pesos GPS'!C$17)</f>
        <v>0</v>
      </c>
      <c r="O28" s="5">
        <f>MAX(0,I28*'Pesos GPS'!D$13+J28*'Pesos GPS'!D$14+K28*'Pesos GPS'!D$15+L28*'Pesos GPS'!D$16+'Pesos GPS'!D$17)</f>
        <v>4.33725125</v>
      </c>
      <c r="P28" s="5">
        <f>MAX(0,I28*'Pesos GPS'!E$13+J28*'Pesos GPS'!E$14+K28*'Pesos GPS'!E$15+L28*'Pesos GPS'!E$16+'Pesos GPS'!E$17)</f>
        <v>3.454674989</v>
      </c>
      <c r="Q28" s="5">
        <f>MAX(0,I28*'Pesos GPS'!F$13+J28*'Pesos GPS'!F$14+K28*'Pesos GPS'!F$15+L28*'Pesos GPS'!F$16+'Pesos GPS'!F$17)</f>
        <v>0</v>
      </c>
      <c r="R28" s="5">
        <f>MAX(0,I28*'Pesos GPS'!G$13+J28*'Pesos GPS'!G$14+K28*'Pesos GPS'!G$15+L28*'Pesos GPS'!G$16+'Pesos GPS'!G$17)</f>
        <v>1.081737259</v>
      </c>
      <c r="S28" s="5">
        <f>MAX(0,I28*'Pesos GPS'!H$13+J28*'Pesos GPS'!H$14+K28*'Pesos GPS'!H$15+L28*'Pesos GPS'!H$16+'Pesos GPS'!H$17)</f>
        <v>0</v>
      </c>
      <c r="T28" s="5">
        <f>MAX(0,I28*'Pesos GPS'!I$13+J28*'Pesos GPS'!I$14+K28*'Pesos GPS'!I$15+L28*'Pesos GPS'!I$16+'Pesos GPS'!I$17)</f>
        <v>0</v>
      </c>
      <c r="U28" s="5">
        <f>M28*'Pesos GPS'!$B$22+N28*'Pesos GPS'!$B$23+O28*'Pesos GPS'!$B$24+P28*'Pesos GPS'!$B$25+Q28*'Pesos GPS'!$B$26+R28*'Pesos GPS'!$B$27+S28*'Pesos GPS'!$B$28+T28*'Pesos GPS'!$B$29+'Pesos GPS'!$B$30</f>
        <v>-4.20295749</v>
      </c>
      <c r="V28" s="5">
        <f t="shared" si="1"/>
        <v>0.0147310449</v>
      </c>
      <c r="W28" s="3">
        <f t="shared" si="2"/>
        <v>0</v>
      </c>
      <c r="X28" s="3">
        <f t="shared" si="3"/>
        <v>1</v>
      </c>
      <c r="Y28" s="9">
        <f t="shared" si="4"/>
        <v>0</v>
      </c>
      <c r="Z28" s="9">
        <v>0.01473104489999343</v>
      </c>
      <c r="AA28" s="3" t="str">
        <f t="shared" si="5"/>
        <v>OK</v>
      </c>
    </row>
    <row r="29" ht="15.75" customHeight="1">
      <c r="A29" s="3">
        <v>28.0</v>
      </c>
      <c r="B29" s="3" t="s">
        <v>15</v>
      </c>
      <c r="C29" s="7">
        <v>40.719378</v>
      </c>
      <c r="D29" s="7">
        <v>-74.002</v>
      </c>
      <c r="E29" s="3">
        <v>0.0</v>
      </c>
      <c r="F29" s="3" t="s">
        <v>55</v>
      </c>
      <c r="G29" s="5">
        <f>(C29-'Pesos GPS'!$L$4)/'Pesos GPS'!$L$5</f>
        <v>1.002940804</v>
      </c>
      <c r="H29" s="5">
        <f>(D29-'Pesos GPS'!$L$6)/'Pesos GPS'!$L$7</f>
        <v>-0.9999551265</v>
      </c>
      <c r="I29" s="5">
        <f>MAX(0,G29*'Pesos GPS'!B$6+H29*'Pesos GPS'!B$7+'Pesos GPS'!B$8)</f>
        <v>2.669672233</v>
      </c>
      <c r="J29" s="5">
        <f>MAX(0,G29*'Pesos GPS'!C$6+H29*'Pesos GPS'!C$7+'Pesos GPS'!C$8)</f>
        <v>0.3445998724</v>
      </c>
      <c r="K29" s="5">
        <f>MAX(0,G29*'Pesos GPS'!D$6+H29*'Pesos GPS'!D$7+'Pesos GPS'!D$8)</f>
        <v>0.4774777584</v>
      </c>
      <c r="L29" s="5">
        <f>MAX(0,G29*'Pesos GPS'!E$6+H29*'Pesos GPS'!E$7+'Pesos GPS'!E$8)</f>
        <v>1.79195553</v>
      </c>
      <c r="M29" s="5">
        <f>MAX(0,I29*'Pesos GPS'!B$13+J29*'Pesos GPS'!B$14+K29*'Pesos GPS'!B$15+L29*'Pesos GPS'!B$16+'Pesos GPS'!B$17)</f>
        <v>0</v>
      </c>
      <c r="N29" s="5">
        <f>MAX(0,I29*'Pesos GPS'!C$13+J29*'Pesos GPS'!C$14+K29*'Pesos GPS'!C$15+L29*'Pesos GPS'!C$16+'Pesos GPS'!C$17)</f>
        <v>0</v>
      </c>
      <c r="O29" s="5">
        <f>MAX(0,I29*'Pesos GPS'!D$13+J29*'Pesos GPS'!D$14+K29*'Pesos GPS'!D$15+L29*'Pesos GPS'!D$16+'Pesos GPS'!D$17)</f>
        <v>4.33731921</v>
      </c>
      <c r="P29" s="5">
        <f>MAX(0,I29*'Pesos GPS'!E$13+J29*'Pesos GPS'!E$14+K29*'Pesos GPS'!E$15+L29*'Pesos GPS'!E$16+'Pesos GPS'!E$17)</f>
        <v>3.453479923</v>
      </c>
      <c r="Q29" s="5">
        <f>MAX(0,I29*'Pesos GPS'!F$13+J29*'Pesos GPS'!F$14+K29*'Pesos GPS'!F$15+L29*'Pesos GPS'!F$16+'Pesos GPS'!F$17)</f>
        <v>0</v>
      </c>
      <c r="R29" s="5">
        <f>MAX(0,I29*'Pesos GPS'!G$13+J29*'Pesos GPS'!G$14+K29*'Pesos GPS'!G$15+L29*'Pesos GPS'!G$16+'Pesos GPS'!G$17)</f>
        <v>1.081492325</v>
      </c>
      <c r="S29" s="5">
        <f>MAX(0,I29*'Pesos GPS'!H$13+J29*'Pesos GPS'!H$14+K29*'Pesos GPS'!H$15+L29*'Pesos GPS'!H$16+'Pesos GPS'!H$17)</f>
        <v>0</v>
      </c>
      <c r="T29" s="5">
        <f>MAX(0,I29*'Pesos GPS'!I$13+J29*'Pesos GPS'!I$14+K29*'Pesos GPS'!I$15+L29*'Pesos GPS'!I$16+'Pesos GPS'!I$17)</f>
        <v>0</v>
      </c>
      <c r="U29" s="5">
        <f>M29*'Pesos GPS'!$B$22+N29*'Pesos GPS'!$B$23+O29*'Pesos GPS'!$B$24+P29*'Pesos GPS'!$B$25+Q29*'Pesos GPS'!$B$26+R29*'Pesos GPS'!$B$27+S29*'Pesos GPS'!$B$28+T29*'Pesos GPS'!$B$29+'Pesos GPS'!$B$30</f>
        <v>-4.202360349</v>
      </c>
      <c r="V29" s="5">
        <f t="shared" si="1"/>
        <v>0.01473971434</v>
      </c>
      <c r="W29" s="3">
        <f t="shared" si="2"/>
        <v>0</v>
      </c>
      <c r="X29" s="3">
        <f t="shared" si="3"/>
        <v>1</v>
      </c>
      <c r="Y29" s="9">
        <f t="shared" si="4"/>
        <v>0</v>
      </c>
      <c r="Z29" s="9">
        <v>0.014739714340068617</v>
      </c>
      <c r="AA29" s="3" t="str">
        <f t="shared" si="5"/>
        <v>OK</v>
      </c>
    </row>
    <row r="30" ht="15.75" customHeight="1">
      <c r="A30" s="3">
        <v>29.0</v>
      </c>
      <c r="B30" s="3" t="s">
        <v>15</v>
      </c>
      <c r="C30" s="7">
        <v>40.720229</v>
      </c>
      <c r="D30" s="7">
        <v>-74.008966</v>
      </c>
      <c r="E30" s="3">
        <v>0.0</v>
      </c>
      <c r="F30" s="3" t="s">
        <v>55</v>
      </c>
      <c r="G30" s="5">
        <f>(C30-'Pesos GPS'!$L$4)/'Pesos GPS'!$L$5</f>
        <v>1.003278824</v>
      </c>
      <c r="H30" s="5">
        <f>(D30-'Pesos GPS'!$L$6)/'Pesos GPS'!$L$7</f>
        <v>-1.000020334</v>
      </c>
      <c r="I30" s="5">
        <f>MAX(0,G30*'Pesos GPS'!B$6+H30*'Pesos GPS'!B$7+'Pesos GPS'!B$8)</f>
        <v>2.669957925</v>
      </c>
      <c r="J30" s="5">
        <f>MAX(0,G30*'Pesos GPS'!C$6+H30*'Pesos GPS'!C$7+'Pesos GPS'!C$8)</f>
        <v>0.3443447329</v>
      </c>
      <c r="K30" s="5">
        <f>MAX(0,G30*'Pesos GPS'!D$6+H30*'Pesos GPS'!D$7+'Pesos GPS'!D$8)</f>
        <v>0.4777033051</v>
      </c>
      <c r="L30" s="5">
        <f>MAX(0,G30*'Pesos GPS'!E$6+H30*'Pesos GPS'!E$7+'Pesos GPS'!E$8)</f>
        <v>1.792365568</v>
      </c>
      <c r="M30" s="5">
        <f>MAX(0,I30*'Pesos GPS'!B$13+J30*'Pesos GPS'!B$14+K30*'Pesos GPS'!B$15+L30*'Pesos GPS'!B$16+'Pesos GPS'!B$17)</f>
        <v>0</v>
      </c>
      <c r="N30" s="5">
        <f>MAX(0,I30*'Pesos GPS'!C$13+J30*'Pesos GPS'!C$14+K30*'Pesos GPS'!C$15+L30*'Pesos GPS'!C$16+'Pesos GPS'!C$17)</f>
        <v>0</v>
      </c>
      <c r="O30" s="5">
        <f>MAX(0,I30*'Pesos GPS'!D$13+J30*'Pesos GPS'!D$14+K30*'Pesos GPS'!D$15+L30*'Pesos GPS'!D$16+'Pesos GPS'!D$17)</f>
        <v>4.337815512</v>
      </c>
      <c r="P30" s="5">
        <f>MAX(0,I30*'Pesos GPS'!E$13+J30*'Pesos GPS'!E$14+K30*'Pesos GPS'!E$15+L30*'Pesos GPS'!E$16+'Pesos GPS'!E$17)</f>
        <v>3.454094662</v>
      </c>
      <c r="Q30" s="5">
        <f>MAX(0,I30*'Pesos GPS'!F$13+J30*'Pesos GPS'!F$14+K30*'Pesos GPS'!F$15+L30*'Pesos GPS'!F$16+'Pesos GPS'!F$17)</f>
        <v>0</v>
      </c>
      <c r="R30" s="5">
        <f>MAX(0,I30*'Pesos GPS'!G$13+J30*'Pesos GPS'!G$14+K30*'Pesos GPS'!G$15+L30*'Pesos GPS'!G$16+'Pesos GPS'!G$17)</f>
        <v>1.081673471</v>
      </c>
      <c r="S30" s="5">
        <f>MAX(0,I30*'Pesos GPS'!H$13+J30*'Pesos GPS'!H$14+K30*'Pesos GPS'!H$15+L30*'Pesos GPS'!H$16+'Pesos GPS'!H$17)</f>
        <v>0</v>
      </c>
      <c r="T30" s="5">
        <f>MAX(0,I30*'Pesos GPS'!I$13+J30*'Pesos GPS'!I$14+K30*'Pesos GPS'!I$15+L30*'Pesos GPS'!I$16+'Pesos GPS'!I$17)</f>
        <v>0</v>
      </c>
      <c r="U30" s="5">
        <f>M30*'Pesos GPS'!$B$22+N30*'Pesos GPS'!$B$23+O30*'Pesos GPS'!$B$24+P30*'Pesos GPS'!$B$25+Q30*'Pesos GPS'!$B$26+R30*'Pesos GPS'!$B$27+S30*'Pesos GPS'!$B$28+T30*'Pesos GPS'!$B$29+'Pesos GPS'!$B$30</f>
        <v>-4.20323794</v>
      </c>
      <c r="V30" s="5">
        <f t="shared" si="1"/>
        <v>0.01472697499</v>
      </c>
      <c r="W30" s="3">
        <f t="shared" si="2"/>
        <v>0</v>
      </c>
      <c r="X30" s="3">
        <f t="shared" si="3"/>
        <v>1</v>
      </c>
      <c r="Y30" s="9">
        <f t="shared" si="4"/>
        <v>0</v>
      </c>
      <c r="Z30" s="9">
        <v>0.014726974986070654</v>
      </c>
      <c r="AA30" s="3" t="str">
        <f t="shared" si="5"/>
        <v>OK</v>
      </c>
    </row>
    <row r="31" ht="15.75" customHeight="1">
      <c r="A31" s="3">
        <v>30.0</v>
      </c>
      <c r="B31" s="3" t="s">
        <v>15</v>
      </c>
      <c r="C31" s="7">
        <v>40.720555</v>
      </c>
      <c r="D31" s="7">
        <v>-73.998854</v>
      </c>
      <c r="E31" s="3">
        <v>0.0</v>
      </c>
      <c r="F31" s="3" t="s">
        <v>55</v>
      </c>
      <c r="G31" s="5">
        <f>(C31-'Pesos GPS'!$L$4)/'Pesos GPS'!$L$5</f>
        <v>1.003408312</v>
      </c>
      <c r="H31" s="5">
        <f>(D31-'Pesos GPS'!$L$6)/'Pesos GPS'!$L$7</f>
        <v>-0.9999256772</v>
      </c>
      <c r="I31" s="5">
        <f>MAX(0,G31*'Pesos GPS'!B$6+H31*'Pesos GPS'!B$7+'Pesos GPS'!B$8)</f>
        <v>2.669817493</v>
      </c>
      <c r="J31" s="5">
        <f>MAX(0,G31*'Pesos GPS'!C$6+H31*'Pesos GPS'!C$7+'Pesos GPS'!C$8)</f>
        <v>0.3440877985</v>
      </c>
      <c r="K31" s="5">
        <f>MAX(0,G31*'Pesos GPS'!D$6+H31*'Pesos GPS'!D$7+'Pesos GPS'!D$8)</f>
        <v>0.4778108722</v>
      </c>
      <c r="L31" s="5">
        <f>MAX(0,G31*'Pesos GPS'!E$6+H31*'Pesos GPS'!E$7+'Pesos GPS'!E$8)</f>
        <v>1.792463598</v>
      </c>
      <c r="M31" s="5">
        <f>MAX(0,I31*'Pesos GPS'!B$13+J31*'Pesos GPS'!B$14+K31*'Pesos GPS'!B$15+L31*'Pesos GPS'!B$16+'Pesos GPS'!B$17)</f>
        <v>0</v>
      </c>
      <c r="N31" s="5">
        <f>MAX(0,I31*'Pesos GPS'!C$13+J31*'Pesos GPS'!C$14+K31*'Pesos GPS'!C$15+L31*'Pesos GPS'!C$16+'Pesos GPS'!C$17)</f>
        <v>0</v>
      </c>
      <c r="O31" s="5">
        <f>MAX(0,I31*'Pesos GPS'!D$13+J31*'Pesos GPS'!D$14+K31*'Pesos GPS'!D$15+L31*'Pesos GPS'!D$16+'Pesos GPS'!D$17)</f>
        <v>4.337618413</v>
      </c>
      <c r="P31" s="5">
        <f>MAX(0,I31*'Pesos GPS'!E$13+J31*'Pesos GPS'!E$14+K31*'Pesos GPS'!E$15+L31*'Pesos GPS'!E$16+'Pesos GPS'!E$17)</f>
        <v>3.454122715</v>
      </c>
      <c r="Q31" s="5">
        <f>MAX(0,I31*'Pesos GPS'!F$13+J31*'Pesos GPS'!F$14+K31*'Pesos GPS'!F$15+L31*'Pesos GPS'!F$16+'Pesos GPS'!F$17)</f>
        <v>0</v>
      </c>
      <c r="R31" s="5">
        <f>MAX(0,I31*'Pesos GPS'!G$13+J31*'Pesos GPS'!G$14+K31*'Pesos GPS'!G$15+L31*'Pesos GPS'!G$16+'Pesos GPS'!G$17)</f>
        <v>1.081658924</v>
      </c>
      <c r="S31" s="5">
        <f>MAX(0,I31*'Pesos GPS'!H$13+J31*'Pesos GPS'!H$14+K31*'Pesos GPS'!H$15+L31*'Pesos GPS'!H$16+'Pesos GPS'!H$17)</f>
        <v>0</v>
      </c>
      <c r="T31" s="5">
        <f>MAX(0,I31*'Pesos GPS'!I$13+J31*'Pesos GPS'!I$14+K31*'Pesos GPS'!I$15+L31*'Pesos GPS'!I$16+'Pesos GPS'!I$17)</f>
        <v>0</v>
      </c>
      <c r="U31" s="5">
        <f>M31*'Pesos GPS'!$B$22+N31*'Pesos GPS'!$B$23+O31*'Pesos GPS'!$B$24+P31*'Pesos GPS'!$B$25+Q31*'Pesos GPS'!$B$26+R31*'Pesos GPS'!$B$27+S31*'Pesos GPS'!$B$28+T31*'Pesos GPS'!$B$29+'Pesos GPS'!$B$30</f>
        <v>-4.203042042</v>
      </c>
      <c r="V31" s="5">
        <f t="shared" si="1"/>
        <v>0.01472981776</v>
      </c>
      <c r="W31" s="3">
        <f t="shared" si="2"/>
        <v>0</v>
      </c>
      <c r="X31" s="3">
        <f t="shared" si="3"/>
        <v>1</v>
      </c>
      <c r="Y31" s="9">
        <f t="shared" si="4"/>
        <v>0</v>
      </c>
      <c r="Z31" s="9">
        <v>0.014729817755306717</v>
      </c>
      <c r="AA31" s="3" t="str">
        <f t="shared" si="5"/>
        <v>OK</v>
      </c>
    </row>
    <row r="32" ht="15.75" customHeight="1">
      <c r="A32" s="3">
        <v>31.0</v>
      </c>
      <c r="B32" s="3" t="s">
        <v>15</v>
      </c>
      <c r="C32" s="7">
        <v>40.75135</v>
      </c>
      <c r="D32" s="7">
        <v>-73.97335</v>
      </c>
      <c r="E32" s="3">
        <v>0.0</v>
      </c>
      <c r="F32" s="3" t="s">
        <v>55</v>
      </c>
      <c r="G32" s="5">
        <f>(C32-'Pesos GPS'!$L$4)/'Pesos GPS'!$L$5</f>
        <v>1.015640182</v>
      </c>
      <c r="H32" s="5">
        <f>(D32-'Pesos GPS'!$L$6)/'Pesos GPS'!$L$7</f>
        <v>-0.9996869376</v>
      </c>
      <c r="I32" s="5">
        <f>MAX(0,G32*'Pesos GPS'!B$6+H32*'Pesos GPS'!B$7+'Pesos GPS'!B$8)</f>
        <v>2.67472875</v>
      </c>
      <c r="J32" s="5">
        <f>MAX(0,G32*'Pesos GPS'!C$6+H32*'Pesos GPS'!C$7+'Pesos GPS'!C$8)</f>
        <v>0.3313975164</v>
      </c>
      <c r="K32" s="5">
        <f>MAX(0,G32*'Pesos GPS'!D$6+H32*'Pesos GPS'!D$7+'Pesos GPS'!D$8)</f>
        <v>0.48643238</v>
      </c>
      <c r="L32" s="5">
        <f>MAX(0,G32*'Pesos GPS'!E$6+H32*'Pesos GPS'!E$7+'Pesos GPS'!E$8)</f>
        <v>1.806019128</v>
      </c>
      <c r="M32" s="5">
        <f>MAX(0,I32*'Pesos GPS'!B$13+J32*'Pesos GPS'!B$14+K32*'Pesos GPS'!B$15+L32*'Pesos GPS'!B$16+'Pesos GPS'!B$17)</f>
        <v>0</v>
      </c>
      <c r="N32" s="5">
        <f>MAX(0,I32*'Pesos GPS'!C$13+J32*'Pesos GPS'!C$14+K32*'Pesos GPS'!C$15+L32*'Pesos GPS'!C$16+'Pesos GPS'!C$17)</f>
        <v>0</v>
      </c>
      <c r="O32" s="5">
        <f>MAX(0,I32*'Pesos GPS'!D$13+J32*'Pesos GPS'!D$14+K32*'Pesos GPS'!D$15+L32*'Pesos GPS'!D$16+'Pesos GPS'!D$17)</f>
        <v>4.347167906</v>
      </c>
      <c r="P32" s="5">
        <f>MAX(0,I32*'Pesos GPS'!E$13+J32*'Pesos GPS'!E$14+K32*'Pesos GPS'!E$15+L32*'Pesos GPS'!E$16+'Pesos GPS'!E$17)</f>
        <v>3.471862773</v>
      </c>
      <c r="Q32" s="5">
        <f>MAX(0,I32*'Pesos GPS'!F$13+J32*'Pesos GPS'!F$14+K32*'Pesos GPS'!F$15+L32*'Pesos GPS'!F$16+'Pesos GPS'!F$17)</f>
        <v>0</v>
      </c>
      <c r="R32" s="5">
        <f>MAX(0,I32*'Pesos GPS'!G$13+J32*'Pesos GPS'!G$14+K32*'Pesos GPS'!G$15+L32*'Pesos GPS'!G$16+'Pesos GPS'!G$17)</f>
        <v>1.086390915</v>
      </c>
      <c r="S32" s="5">
        <f>MAX(0,I32*'Pesos GPS'!H$13+J32*'Pesos GPS'!H$14+K32*'Pesos GPS'!H$15+L32*'Pesos GPS'!H$16+'Pesos GPS'!H$17)</f>
        <v>0</v>
      </c>
      <c r="T32" s="5">
        <f>MAX(0,I32*'Pesos GPS'!I$13+J32*'Pesos GPS'!I$14+K32*'Pesos GPS'!I$15+L32*'Pesos GPS'!I$16+'Pesos GPS'!I$17)</f>
        <v>0</v>
      </c>
      <c r="U32" s="5">
        <f>M32*'Pesos GPS'!$B$22+N32*'Pesos GPS'!$B$23+O32*'Pesos GPS'!$B$24+P32*'Pesos GPS'!$B$25+Q32*'Pesos GPS'!$B$26+R32*'Pesos GPS'!$B$27+S32*'Pesos GPS'!$B$28+T32*'Pesos GPS'!$B$29+'Pesos GPS'!$B$30</f>
        <v>-4.223242898</v>
      </c>
      <c r="V32" s="5">
        <f t="shared" si="1"/>
        <v>0.01443950157</v>
      </c>
      <c r="W32" s="3">
        <f t="shared" si="2"/>
        <v>0</v>
      </c>
      <c r="X32" s="3">
        <f t="shared" si="3"/>
        <v>1</v>
      </c>
      <c r="Y32" s="9">
        <f t="shared" si="4"/>
        <v>0</v>
      </c>
      <c r="Z32" s="9">
        <v>0.0144395015709224</v>
      </c>
      <c r="AA32" s="3" t="str">
        <f t="shared" si="5"/>
        <v>OK</v>
      </c>
    </row>
    <row r="33" ht="15.75" customHeight="1">
      <c r="A33" s="3">
        <v>32.0</v>
      </c>
      <c r="B33" s="3" t="s">
        <v>15</v>
      </c>
      <c r="C33" s="7">
        <v>40.705485</v>
      </c>
      <c r="D33" s="7">
        <v>-74.000515</v>
      </c>
      <c r="E33" s="3">
        <v>0.0</v>
      </c>
      <c r="F33" s="3" t="s">
        <v>55</v>
      </c>
      <c r="G33" s="5">
        <f>(C33-'Pesos GPS'!$L$4)/'Pesos GPS'!$L$5</f>
        <v>0.9974224609</v>
      </c>
      <c r="H33" s="5">
        <f>(D33-'Pesos GPS'!$L$6)/'Pesos GPS'!$L$7</f>
        <v>-0.9999412256</v>
      </c>
      <c r="I33" s="5">
        <f>MAX(0,G33*'Pesos GPS'!B$6+H33*'Pesos GPS'!B$7+'Pesos GPS'!B$8)</f>
        <v>2.667202556</v>
      </c>
      <c r="J33" s="5">
        <f>MAX(0,G33*'Pesos GPS'!C$6+H33*'Pesos GPS'!C$7+'Pesos GPS'!C$8)</f>
        <v>0.350163208</v>
      </c>
      <c r="K33" s="5">
        <f>MAX(0,G33*'Pesos GPS'!D$6+H33*'Pesos GPS'!D$7+'Pesos GPS'!D$8)</f>
        <v>0.4736097246</v>
      </c>
      <c r="L33" s="5">
        <f>MAX(0,G33*'Pesos GPS'!E$6+H33*'Pesos GPS'!E$7+'Pesos GPS'!E$8)</f>
        <v>1.785780007</v>
      </c>
      <c r="M33" s="5">
        <f>MAX(0,I33*'Pesos GPS'!B$13+J33*'Pesos GPS'!B$14+K33*'Pesos GPS'!B$15+L33*'Pesos GPS'!B$16+'Pesos GPS'!B$17)</f>
        <v>0</v>
      </c>
      <c r="N33" s="5">
        <f>MAX(0,I33*'Pesos GPS'!C$13+J33*'Pesos GPS'!C$14+K33*'Pesos GPS'!C$15+L33*'Pesos GPS'!C$16+'Pesos GPS'!C$17)</f>
        <v>0</v>
      </c>
      <c r="O33" s="5">
        <f>MAX(0,I33*'Pesos GPS'!D$13+J33*'Pesos GPS'!D$14+K33*'Pesos GPS'!D$15+L33*'Pesos GPS'!D$16+'Pesos GPS'!D$17)</f>
        <v>4.33261741</v>
      </c>
      <c r="P33" s="5">
        <f>MAX(0,I33*'Pesos GPS'!E$13+J33*'Pesos GPS'!E$14+K33*'Pesos GPS'!E$15+L33*'Pesos GPS'!E$16+'Pesos GPS'!E$17)</f>
        <v>3.445265734</v>
      </c>
      <c r="Q33" s="5">
        <f>MAX(0,I33*'Pesos GPS'!F$13+J33*'Pesos GPS'!F$14+K33*'Pesos GPS'!F$15+L33*'Pesos GPS'!F$16+'Pesos GPS'!F$17)</f>
        <v>0</v>
      </c>
      <c r="R33" s="5">
        <f>MAX(0,I33*'Pesos GPS'!G$13+J33*'Pesos GPS'!G$14+K33*'Pesos GPS'!G$15+L33*'Pesos GPS'!G$16+'Pesos GPS'!G$17)</f>
        <v>1.079272192</v>
      </c>
      <c r="S33" s="5">
        <f>MAX(0,I33*'Pesos GPS'!H$13+J33*'Pesos GPS'!H$14+K33*'Pesos GPS'!H$15+L33*'Pesos GPS'!H$16+'Pesos GPS'!H$17)</f>
        <v>0.0008947808599</v>
      </c>
      <c r="T33" s="5">
        <f>MAX(0,I33*'Pesos GPS'!I$13+J33*'Pesos GPS'!I$14+K33*'Pesos GPS'!I$15+L33*'Pesos GPS'!I$16+'Pesos GPS'!I$17)</f>
        <v>0</v>
      </c>
      <c r="U33" s="5">
        <f>M33*'Pesos GPS'!$B$22+N33*'Pesos GPS'!$B$23+O33*'Pesos GPS'!$B$24+P33*'Pesos GPS'!$B$25+Q33*'Pesos GPS'!$B$26+R33*'Pesos GPS'!$B$27+S33*'Pesos GPS'!$B$28+T33*'Pesos GPS'!$B$29+'Pesos GPS'!$B$30</f>
        <v>-4.192428975</v>
      </c>
      <c r="V33" s="5">
        <f t="shared" si="1"/>
        <v>0.01488463952</v>
      </c>
      <c r="W33" s="3">
        <f t="shared" si="2"/>
        <v>0</v>
      </c>
      <c r="X33" s="3">
        <f t="shared" si="3"/>
        <v>1</v>
      </c>
      <c r="Y33" s="9">
        <f t="shared" si="4"/>
        <v>0</v>
      </c>
      <c r="Z33" s="9">
        <v>0.014884639515068701</v>
      </c>
      <c r="AA33" s="3" t="str">
        <f t="shared" si="5"/>
        <v>OK</v>
      </c>
    </row>
    <row r="34" ht="15.75" customHeight="1">
      <c r="A34" s="3">
        <v>33.0</v>
      </c>
      <c r="B34" s="3" t="s">
        <v>15</v>
      </c>
      <c r="C34" s="7">
        <v>40.70358</v>
      </c>
      <c r="D34" s="7">
        <v>-74.016273</v>
      </c>
      <c r="E34" s="3">
        <v>0.0</v>
      </c>
      <c r="F34" s="3" t="s">
        <v>55</v>
      </c>
      <c r="G34" s="5">
        <f>(C34-'Pesos GPS'!$L$4)/'Pesos GPS'!$L$5</f>
        <v>0.996665789</v>
      </c>
      <c r="H34" s="5">
        <f>(D34-'Pesos GPS'!$L$6)/'Pesos GPS'!$L$7</f>
        <v>-1.000088734</v>
      </c>
      <c r="I34" s="5">
        <f>MAX(0,G34*'Pesos GPS'!B$6+H34*'Pesos GPS'!B$7+'Pesos GPS'!B$8)</f>
        <v>2.667175984</v>
      </c>
      <c r="J34" s="5">
        <f>MAX(0,G34*'Pesos GPS'!C$6+H34*'Pesos GPS'!C$7+'Pesos GPS'!C$8)</f>
        <v>0.3511248693</v>
      </c>
      <c r="K34" s="5">
        <f>MAX(0,G34*'Pesos GPS'!D$6+H34*'Pesos GPS'!D$7+'Pesos GPS'!D$8)</f>
        <v>0.4730529091</v>
      </c>
      <c r="L34" s="5">
        <f>MAX(0,G34*'Pesos GPS'!E$6+H34*'Pesos GPS'!E$7+'Pesos GPS'!E$8)</f>
        <v>1.785006966</v>
      </c>
      <c r="M34" s="5">
        <f>MAX(0,I34*'Pesos GPS'!B$13+J34*'Pesos GPS'!B$14+K34*'Pesos GPS'!B$15+L34*'Pesos GPS'!B$16+'Pesos GPS'!B$17)</f>
        <v>0</v>
      </c>
      <c r="N34" s="5">
        <f>MAX(0,I34*'Pesos GPS'!C$13+J34*'Pesos GPS'!C$14+K34*'Pesos GPS'!C$15+L34*'Pesos GPS'!C$16+'Pesos GPS'!C$17)</f>
        <v>0</v>
      </c>
      <c r="O34" s="5">
        <f>MAX(0,I34*'Pesos GPS'!D$13+J34*'Pesos GPS'!D$14+K34*'Pesos GPS'!D$15+L34*'Pesos GPS'!D$16+'Pesos GPS'!D$17)</f>
        <v>4.332456303</v>
      </c>
      <c r="P34" s="5">
        <f>MAX(0,I34*'Pesos GPS'!E$13+J34*'Pesos GPS'!E$14+K34*'Pesos GPS'!E$15+L34*'Pesos GPS'!E$16+'Pesos GPS'!E$17)</f>
        <v>3.444398482</v>
      </c>
      <c r="Q34" s="5">
        <f>MAX(0,I34*'Pesos GPS'!F$13+J34*'Pesos GPS'!F$14+K34*'Pesos GPS'!F$15+L34*'Pesos GPS'!F$16+'Pesos GPS'!F$17)</f>
        <v>0</v>
      </c>
      <c r="R34" s="5">
        <f>MAX(0,I34*'Pesos GPS'!G$13+J34*'Pesos GPS'!G$14+K34*'Pesos GPS'!G$15+L34*'Pesos GPS'!G$16+'Pesos GPS'!G$17)</f>
        <v>1.0790726</v>
      </c>
      <c r="S34" s="5">
        <f>MAX(0,I34*'Pesos GPS'!H$13+J34*'Pesos GPS'!H$14+K34*'Pesos GPS'!H$15+L34*'Pesos GPS'!H$16+'Pesos GPS'!H$17)</f>
        <v>0.001425916213</v>
      </c>
      <c r="T34" s="5">
        <f>MAX(0,I34*'Pesos GPS'!I$13+J34*'Pesos GPS'!I$14+K34*'Pesos GPS'!I$15+L34*'Pesos GPS'!I$16+'Pesos GPS'!I$17)</f>
        <v>0</v>
      </c>
      <c r="U34" s="5">
        <f>M34*'Pesos GPS'!$B$22+N34*'Pesos GPS'!$B$23+O34*'Pesos GPS'!$B$24+P34*'Pesos GPS'!$B$25+Q34*'Pesos GPS'!$B$26+R34*'Pesos GPS'!$B$27+S34*'Pesos GPS'!$B$28+T34*'Pesos GPS'!$B$29+'Pesos GPS'!$B$30</f>
        <v>-4.191605261</v>
      </c>
      <c r="V34" s="5">
        <f t="shared" si="1"/>
        <v>0.01489672254</v>
      </c>
      <c r="W34" s="3">
        <f t="shared" si="2"/>
        <v>0</v>
      </c>
      <c r="X34" s="3">
        <f t="shared" si="3"/>
        <v>1</v>
      </c>
      <c r="Y34" s="9">
        <f t="shared" si="4"/>
        <v>0</v>
      </c>
      <c r="Z34" s="9">
        <v>0.014896722536001238</v>
      </c>
      <c r="AA34" s="3" t="str">
        <f t="shared" si="5"/>
        <v>OK</v>
      </c>
    </row>
    <row r="35" ht="15.75" customHeight="1">
      <c r="A35" s="3">
        <v>34.0</v>
      </c>
      <c r="B35" s="3" t="s">
        <v>15</v>
      </c>
      <c r="C35" s="7">
        <v>40.698152</v>
      </c>
      <c r="D35" s="7">
        <v>-73.978343</v>
      </c>
      <c r="E35" s="3">
        <v>0.0</v>
      </c>
      <c r="F35" s="3" t="s">
        <v>55</v>
      </c>
      <c r="G35" s="5">
        <f>(C35-'Pesos GPS'!$L$4)/'Pesos GPS'!$L$5</f>
        <v>0.9945097705</v>
      </c>
      <c r="H35" s="5">
        <f>(D35-'Pesos GPS'!$L$6)/'Pesos GPS'!$L$7</f>
        <v>-0.9997336764</v>
      </c>
      <c r="I35" s="5">
        <f>MAX(0,G35*'Pesos GPS'!B$6+H35*'Pesos GPS'!B$7+'Pesos GPS'!B$8)</f>
        <v>2.665480847</v>
      </c>
      <c r="J35" s="5">
        <f>MAX(0,G35*'Pesos GPS'!C$6+H35*'Pesos GPS'!C$7+'Pesos GPS'!C$8)</f>
        <v>0.3528332325</v>
      </c>
      <c r="K35" s="5">
        <f>MAX(0,G35*'Pesos GPS'!D$6+H35*'Pesos GPS'!D$7+'Pesos GPS'!D$8)</f>
        <v>0.4716035194</v>
      </c>
      <c r="L35" s="5">
        <f>MAX(0,G35*'Pesos GPS'!E$6+H35*'Pesos GPS'!E$7+'Pesos GPS'!E$8)</f>
        <v>1.782421631</v>
      </c>
      <c r="M35" s="5">
        <f>MAX(0,I35*'Pesos GPS'!B$13+J35*'Pesos GPS'!B$14+K35*'Pesos GPS'!B$15+L35*'Pesos GPS'!B$16+'Pesos GPS'!B$17)</f>
        <v>0</v>
      </c>
      <c r="N35" s="5">
        <f>MAX(0,I35*'Pesos GPS'!C$13+J35*'Pesos GPS'!C$14+K35*'Pesos GPS'!C$15+L35*'Pesos GPS'!C$16+'Pesos GPS'!C$17)</f>
        <v>0</v>
      </c>
      <c r="O35" s="5">
        <f>MAX(0,I35*'Pesos GPS'!D$13+J35*'Pesos GPS'!D$14+K35*'Pesos GPS'!D$15+L35*'Pesos GPS'!D$16+'Pesos GPS'!D$17)</f>
        <v>4.329487692</v>
      </c>
      <c r="P35" s="5">
        <f>MAX(0,I35*'Pesos GPS'!E$13+J35*'Pesos GPS'!E$14+K35*'Pesos GPS'!E$15+L35*'Pesos GPS'!E$16+'Pesos GPS'!E$17)</f>
        <v>3.440582971</v>
      </c>
      <c r="Q35" s="5">
        <f>MAX(0,I35*'Pesos GPS'!F$13+J35*'Pesos GPS'!F$14+K35*'Pesos GPS'!F$15+L35*'Pesos GPS'!F$16+'Pesos GPS'!F$17)</f>
        <v>0</v>
      </c>
      <c r="R35" s="5">
        <f>MAX(0,I35*'Pesos GPS'!G$13+J35*'Pesos GPS'!G$14+K35*'Pesos GPS'!G$15+L35*'Pesos GPS'!G$16+'Pesos GPS'!G$17)</f>
        <v>1.077959889</v>
      </c>
      <c r="S35" s="5">
        <f>MAX(0,I35*'Pesos GPS'!H$13+J35*'Pesos GPS'!H$14+K35*'Pesos GPS'!H$15+L35*'Pesos GPS'!H$16+'Pesos GPS'!H$17)</f>
        <v>0.002328907622</v>
      </c>
      <c r="T35" s="5">
        <f>MAX(0,I35*'Pesos GPS'!I$13+J35*'Pesos GPS'!I$14+K35*'Pesos GPS'!I$15+L35*'Pesos GPS'!I$16+'Pesos GPS'!I$17)</f>
        <v>0</v>
      </c>
      <c r="U35" s="5">
        <f>M35*'Pesos GPS'!$B$22+N35*'Pesos GPS'!$B$23+O35*'Pesos GPS'!$B$24+P35*'Pesos GPS'!$B$25+Q35*'Pesos GPS'!$B$26+R35*'Pesos GPS'!$B$27+S35*'Pesos GPS'!$B$28+T35*'Pesos GPS'!$B$29+'Pesos GPS'!$B$30</f>
        <v>-4.185998777</v>
      </c>
      <c r="V35" s="5">
        <f t="shared" si="1"/>
        <v>0.01497922079</v>
      </c>
      <c r="W35" s="3">
        <f t="shared" si="2"/>
        <v>0</v>
      </c>
      <c r="X35" s="3">
        <f t="shared" si="3"/>
        <v>1</v>
      </c>
      <c r="Y35" s="9">
        <f t="shared" si="4"/>
        <v>0</v>
      </c>
      <c r="Z35" s="9">
        <v>0.014979220788557335</v>
      </c>
      <c r="AA35" s="3" t="str">
        <f t="shared" si="5"/>
        <v>OK</v>
      </c>
    </row>
    <row r="36" ht="15.75" customHeight="1">
      <c r="A36" s="3">
        <v>35.0</v>
      </c>
      <c r="B36" s="3" t="s">
        <v>15</v>
      </c>
      <c r="C36" s="7">
        <v>40.723888</v>
      </c>
      <c r="D36" s="7">
        <v>-73.995281</v>
      </c>
      <c r="E36" s="3">
        <v>0.0</v>
      </c>
      <c r="F36" s="3" t="s">
        <v>55</v>
      </c>
      <c r="G36" s="5">
        <f>(C36-'Pesos GPS'!$L$4)/'Pesos GPS'!$L$5</f>
        <v>1.00473219</v>
      </c>
      <c r="H36" s="5">
        <f>(D36-'Pesos GPS'!$L$6)/'Pesos GPS'!$L$7</f>
        <v>-0.9998922308</v>
      </c>
      <c r="I36" s="5">
        <f>MAX(0,G36*'Pesos GPS'!B$6+H36*'Pesos GPS'!B$7+'Pesos GPS'!B$8)</f>
        <v>2.670333159</v>
      </c>
      <c r="J36" s="5">
        <f>MAX(0,G36*'Pesos GPS'!C$6+H36*'Pesos GPS'!C$7+'Pesos GPS'!C$8)</f>
        <v>0.3427041832</v>
      </c>
      <c r="K36" s="5">
        <f>MAX(0,G36*'Pesos GPS'!D$6+H36*'Pesos GPS'!D$7+'Pesos GPS'!D$8)</f>
        <v>0.4787453398</v>
      </c>
      <c r="L36" s="5">
        <f>MAX(0,G36*'Pesos GPS'!E$6+H36*'Pesos GPS'!E$7+'Pesos GPS'!E$8)</f>
        <v>1.793926984</v>
      </c>
      <c r="M36" s="5">
        <f>MAX(0,I36*'Pesos GPS'!B$13+J36*'Pesos GPS'!B$14+K36*'Pesos GPS'!B$15+L36*'Pesos GPS'!B$16+'Pesos GPS'!B$17)</f>
        <v>0</v>
      </c>
      <c r="N36" s="5">
        <f>MAX(0,I36*'Pesos GPS'!C$13+J36*'Pesos GPS'!C$14+K36*'Pesos GPS'!C$15+L36*'Pesos GPS'!C$16+'Pesos GPS'!C$17)</f>
        <v>0</v>
      </c>
      <c r="O36" s="5">
        <f>MAX(0,I36*'Pesos GPS'!D$13+J36*'Pesos GPS'!D$14+K36*'Pesos GPS'!D$15+L36*'Pesos GPS'!D$16+'Pesos GPS'!D$17)</f>
        <v>4.338627351</v>
      </c>
      <c r="P36" s="5">
        <f>MAX(0,I36*'Pesos GPS'!E$13+J36*'Pesos GPS'!E$14+K36*'Pesos GPS'!E$15+L36*'Pesos GPS'!E$16+'Pesos GPS'!E$17)</f>
        <v>3.456029564</v>
      </c>
      <c r="Q36" s="5">
        <f>MAX(0,I36*'Pesos GPS'!F$13+J36*'Pesos GPS'!F$14+K36*'Pesos GPS'!F$15+L36*'Pesos GPS'!F$16+'Pesos GPS'!F$17)</f>
        <v>0</v>
      </c>
      <c r="R36" s="5">
        <f>MAX(0,I36*'Pesos GPS'!G$13+J36*'Pesos GPS'!G$14+K36*'Pesos GPS'!G$15+L36*'Pesos GPS'!G$16+'Pesos GPS'!G$17)</f>
        <v>1.082165739</v>
      </c>
      <c r="S36" s="5">
        <f>MAX(0,I36*'Pesos GPS'!H$13+J36*'Pesos GPS'!H$14+K36*'Pesos GPS'!H$15+L36*'Pesos GPS'!H$16+'Pesos GPS'!H$17)</f>
        <v>0</v>
      </c>
      <c r="T36" s="5">
        <f>MAX(0,I36*'Pesos GPS'!I$13+J36*'Pesos GPS'!I$14+K36*'Pesos GPS'!I$15+L36*'Pesos GPS'!I$16+'Pesos GPS'!I$17)</f>
        <v>0</v>
      </c>
      <c r="U36" s="5">
        <f>M36*'Pesos GPS'!$B$22+N36*'Pesos GPS'!$B$23+O36*'Pesos GPS'!$B$24+P36*'Pesos GPS'!$B$25+Q36*'Pesos GPS'!$B$26+R36*'Pesos GPS'!$B$27+S36*'Pesos GPS'!$B$28+T36*'Pesos GPS'!$B$29+'Pesos GPS'!$B$30</f>
        <v>-4.205194585</v>
      </c>
      <c r="V36" s="5">
        <f t="shared" si="1"/>
        <v>0.01469861083</v>
      </c>
      <c r="W36" s="3">
        <f t="shared" si="2"/>
        <v>0</v>
      </c>
      <c r="X36" s="3">
        <f t="shared" si="3"/>
        <v>1</v>
      </c>
      <c r="Y36" s="9">
        <f t="shared" si="4"/>
        <v>0</v>
      </c>
      <c r="Z36" s="9">
        <v>0.014698610827007986</v>
      </c>
      <c r="AA36" s="3" t="str">
        <f t="shared" si="5"/>
        <v>OK</v>
      </c>
    </row>
    <row r="37" ht="15.75" customHeight="1">
      <c r="A37" s="3">
        <v>36.0</v>
      </c>
      <c r="B37" s="3" t="s">
        <v>15</v>
      </c>
      <c r="C37" s="7">
        <v>40.733122</v>
      </c>
      <c r="D37" s="7">
        <v>-73.967606</v>
      </c>
      <c r="E37" s="3">
        <v>0.0</v>
      </c>
      <c r="F37" s="3" t="s">
        <v>55</v>
      </c>
      <c r="G37" s="5">
        <f>(C37-'Pesos GPS'!$L$4)/'Pesos GPS'!$L$5</f>
        <v>1.008399963</v>
      </c>
      <c r="H37" s="5">
        <f>(D37-'Pesos GPS'!$L$6)/'Pesos GPS'!$L$7</f>
        <v>-0.9996331688</v>
      </c>
      <c r="I37" s="5">
        <f>MAX(0,G37*'Pesos GPS'!B$6+H37*'Pesos GPS'!B$7+'Pesos GPS'!B$8)</f>
        <v>2.671414256</v>
      </c>
      <c r="J37" s="5">
        <f>MAX(0,G37*'Pesos GPS'!C$6+H37*'Pesos GPS'!C$7+'Pesos GPS'!C$8)</f>
        <v>0.3386494875</v>
      </c>
      <c r="K37" s="5">
        <f>MAX(0,G37*'Pesos GPS'!D$6+H37*'Pesos GPS'!D$7+'Pesos GPS'!D$8)</f>
        <v>0.4813636985</v>
      </c>
      <c r="L37" s="5">
        <f>MAX(0,G37*'Pesos GPS'!E$6+H37*'Pesos GPS'!E$7+'Pesos GPS'!E$8)</f>
        <v>1.797899135</v>
      </c>
      <c r="M37" s="5">
        <f>MAX(0,I37*'Pesos GPS'!B$13+J37*'Pesos GPS'!B$14+K37*'Pesos GPS'!B$15+L37*'Pesos GPS'!B$16+'Pesos GPS'!B$17)</f>
        <v>0</v>
      </c>
      <c r="N37" s="5">
        <f>MAX(0,I37*'Pesos GPS'!C$13+J37*'Pesos GPS'!C$14+K37*'Pesos GPS'!C$15+L37*'Pesos GPS'!C$16+'Pesos GPS'!C$17)</f>
        <v>0</v>
      </c>
      <c r="O37" s="5">
        <f>MAX(0,I37*'Pesos GPS'!D$13+J37*'Pesos GPS'!D$14+K37*'Pesos GPS'!D$15+L37*'Pesos GPS'!D$16+'Pesos GPS'!D$17)</f>
        <v>4.340884014</v>
      </c>
      <c r="P37" s="5">
        <f>MAX(0,I37*'Pesos GPS'!E$13+J37*'Pesos GPS'!E$14+K37*'Pesos GPS'!E$15+L37*'Pesos GPS'!E$16+'Pesos GPS'!E$17)</f>
        <v>3.461023923</v>
      </c>
      <c r="Q37" s="5">
        <f>MAX(0,I37*'Pesos GPS'!F$13+J37*'Pesos GPS'!F$14+K37*'Pesos GPS'!F$15+L37*'Pesos GPS'!F$16+'Pesos GPS'!F$17)</f>
        <v>0</v>
      </c>
      <c r="R37" s="5">
        <f>MAX(0,I37*'Pesos GPS'!G$13+J37*'Pesos GPS'!G$14+K37*'Pesos GPS'!G$15+L37*'Pesos GPS'!G$16+'Pesos GPS'!G$17)</f>
        <v>1.083453109</v>
      </c>
      <c r="S37" s="5">
        <f>MAX(0,I37*'Pesos GPS'!H$13+J37*'Pesos GPS'!H$14+K37*'Pesos GPS'!H$15+L37*'Pesos GPS'!H$16+'Pesos GPS'!H$17)</f>
        <v>0</v>
      </c>
      <c r="T37" s="5">
        <f>MAX(0,I37*'Pesos GPS'!I$13+J37*'Pesos GPS'!I$14+K37*'Pesos GPS'!I$15+L37*'Pesos GPS'!I$16+'Pesos GPS'!I$17)</f>
        <v>0</v>
      </c>
      <c r="U37" s="5">
        <f>M37*'Pesos GPS'!$B$22+N37*'Pesos GPS'!$B$23+O37*'Pesos GPS'!$B$24+P37*'Pesos GPS'!$B$25+Q37*'Pesos GPS'!$B$26+R37*'Pesos GPS'!$B$27+S37*'Pesos GPS'!$B$28+T37*'Pesos GPS'!$B$29+'Pesos GPS'!$B$30</f>
        <v>-4.210418095</v>
      </c>
      <c r="V37" s="5">
        <f t="shared" si="1"/>
        <v>0.01462315248</v>
      </c>
      <c r="W37" s="3">
        <f t="shared" si="2"/>
        <v>0</v>
      </c>
      <c r="X37" s="3">
        <f t="shared" si="3"/>
        <v>1</v>
      </c>
      <c r="Y37" s="9">
        <f t="shared" si="4"/>
        <v>0</v>
      </c>
      <c r="Z37" s="9">
        <v>0.01462315248217194</v>
      </c>
      <c r="AA37" s="3" t="str">
        <f t="shared" si="5"/>
        <v>OK</v>
      </c>
    </row>
    <row r="38" ht="15.75" customHeight="1">
      <c r="A38" s="3">
        <v>37.0</v>
      </c>
      <c r="B38" s="3" t="s">
        <v>15</v>
      </c>
      <c r="C38" s="7">
        <v>40.710749</v>
      </c>
      <c r="D38" s="7">
        <v>-74.001419</v>
      </c>
      <c r="E38" s="3">
        <v>0.0</v>
      </c>
      <c r="F38" s="3" t="s">
        <v>55</v>
      </c>
      <c r="G38" s="5">
        <f>(C38-'Pesos GPS'!$L$4)/'Pesos GPS'!$L$5</f>
        <v>0.9995133381</v>
      </c>
      <c r="H38" s="5">
        <f>(D38-'Pesos GPS'!$L$6)/'Pesos GPS'!$L$7</f>
        <v>-0.9999496878</v>
      </c>
      <c r="I38" s="5">
        <f>MAX(0,G38*'Pesos GPS'!B$6+H38*'Pesos GPS'!B$7+'Pesos GPS'!B$8)</f>
        <v>2.66814498</v>
      </c>
      <c r="J38" s="5">
        <f>MAX(0,G38*'Pesos GPS'!C$6+H38*'Pesos GPS'!C$7+'Pesos GPS'!C$8)</f>
        <v>0.348059535</v>
      </c>
      <c r="K38" s="5">
        <f>MAX(0,G38*'Pesos GPS'!D$6+H38*'Pesos GPS'!D$7+'Pesos GPS'!D$8)</f>
        <v>0.4750747412</v>
      </c>
      <c r="L38" s="5">
        <f>MAX(0,G38*'Pesos GPS'!E$6+H38*'Pesos GPS'!E$7+'Pesos GPS'!E$8)</f>
        <v>1.788121464</v>
      </c>
      <c r="M38" s="5">
        <f>MAX(0,I38*'Pesos GPS'!B$13+J38*'Pesos GPS'!B$14+K38*'Pesos GPS'!B$15+L38*'Pesos GPS'!B$16+'Pesos GPS'!B$17)</f>
        <v>0</v>
      </c>
      <c r="N38" s="5">
        <f>MAX(0,I38*'Pesos GPS'!C$13+J38*'Pesos GPS'!C$14+K38*'Pesos GPS'!C$15+L38*'Pesos GPS'!C$16+'Pesos GPS'!C$17)</f>
        <v>0</v>
      </c>
      <c r="O38" s="5">
        <f>MAX(0,I38*'Pesos GPS'!D$13+J38*'Pesos GPS'!D$14+K38*'Pesos GPS'!D$15+L38*'Pesos GPS'!D$16+'Pesos GPS'!D$17)</f>
        <v>4.334409244</v>
      </c>
      <c r="P38" s="5">
        <f>MAX(0,I38*'Pesos GPS'!E$13+J38*'Pesos GPS'!E$14+K38*'Pesos GPS'!E$15+L38*'Pesos GPS'!E$16+'Pesos GPS'!E$17)</f>
        <v>3.448383596</v>
      </c>
      <c r="Q38" s="5">
        <f>MAX(0,I38*'Pesos GPS'!F$13+J38*'Pesos GPS'!F$14+K38*'Pesos GPS'!F$15+L38*'Pesos GPS'!F$16+'Pesos GPS'!F$17)</f>
        <v>0</v>
      </c>
      <c r="R38" s="5">
        <f>MAX(0,I38*'Pesos GPS'!G$13+J38*'Pesos GPS'!G$14+K38*'Pesos GPS'!G$15+L38*'Pesos GPS'!G$16+'Pesos GPS'!G$17)</f>
        <v>1.080115633</v>
      </c>
      <c r="S38" s="5">
        <f>MAX(0,I38*'Pesos GPS'!H$13+J38*'Pesos GPS'!H$14+K38*'Pesos GPS'!H$15+L38*'Pesos GPS'!H$16+'Pesos GPS'!H$17)</f>
        <v>0</v>
      </c>
      <c r="T38" s="5">
        <f>MAX(0,I38*'Pesos GPS'!I$13+J38*'Pesos GPS'!I$14+K38*'Pesos GPS'!I$15+L38*'Pesos GPS'!I$16+'Pesos GPS'!I$17)</f>
        <v>0</v>
      </c>
      <c r="U38" s="5">
        <f>M38*'Pesos GPS'!$B$22+N38*'Pesos GPS'!$B$23+O38*'Pesos GPS'!$B$24+P38*'Pesos GPS'!$B$25+Q38*'Pesos GPS'!$B$26+R38*'Pesos GPS'!$B$27+S38*'Pesos GPS'!$B$28+T38*'Pesos GPS'!$B$29+'Pesos GPS'!$B$30</f>
        <v>-4.1963782</v>
      </c>
      <c r="V38" s="5">
        <f t="shared" si="1"/>
        <v>0.0148268425</v>
      </c>
      <c r="W38" s="3">
        <f t="shared" si="2"/>
        <v>0</v>
      </c>
      <c r="X38" s="3">
        <f t="shared" si="3"/>
        <v>1</v>
      </c>
      <c r="Y38" s="9">
        <f t="shared" si="4"/>
        <v>0</v>
      </c>
      <c r="Z38" s="9">
        <v>0.014826842498526964</v>
      </c>
      <c r="AA38" s="3" t="str">
        <f t="shared" si="5"/>
        <v>OK</v>
      </c>
    </row>
    <row r="39" ht="15.75" customHeight="1">
      <c r="A39" s="3">
        <v>38.0</v>
      </c>
      <c r="B39" s="3" t="s">
        <v>15</v>
      </c>
      <c r="C39" s="7">
        <v>40.697677</v>
      </c>
      <c r="D39" s="7">
        <v>-74.036612</v>
      </c>
      <c r="E39" s="3">
        <v>0.0</v>
      </c>
      <c r="F39" s="3" t="s">
        <v>55</v>
      </c>
      <c r="G39" s="5">
        <f>(C39-'Pesos GPS'!$L$4)/'Pesos GPS'!$L$5</f>
        <v>0.994321099</v>
      </c>
      <c r="H39" s="5">
        <f>(D39-'Pesos GPS'!$L$6)/'Pesos GPS'!$L$7</f>
        <v>-1.000279125</v>
      </c>
      <c r="I39" s="5">
        <f>MAX(0,G39*'Pesos GPS'!B$6+H39*'Pesos GPS'!B$7+'Pesos GPS'!B$8)</f>
        <v>2.666536631</v>
      </c>
      <c r="J39" s="5">
        <f>MAX(0,G39*'Pesos GPS'!C$6+H39*'Pesos GPS'!C$7+'Pesos GPS'!C$8)</f>
        <v>0.3537498808</v>
      </c>
      <c r="K39" s="5">
        <f>MAX(0,G39*'Pesos GPS'!D$6+H39*'Pesos GPS'!D$7+'Pesos GPS'!D$8)</f>
        <v>0.4713746924</v>
      </c>
      <c r="L39" s="5">
        <f>MAX(0,G39*'Pesos GPS'!E$6+H39*'Pesos GPS'!E$7+'Pesos GPS'!E$8)</f>
        <v>1.782479927</v>
      </c>
      <c r="M39" s="5">
        <f>MAX(0,I39*'Pesos GPS'!B$13+J39*'Pesos GPS'!B$14+K39*'Pesos GPS'!B$15+L39*'Pesos GPS'!B$16+'Pesos GPS'!B$17)</f>
        <v>0</v>
      </c>
      <c r="N39" s="5">
        <f>MAX(0,I39*'Pesos GPS'!C$13+J39*'Pesos GPS'!C$14+K39*'Pesos GPS'!C$15+L39*'Pesos GPS'!C$16+'Pesos GPS'!C$17)</f>
        <v>0</v>
      </c>
      <c r="O39" s="5">
        <f>MAX(0,I39*'Pesos GPS'!D$13+J39*'Pesos GPS'!D$14+K39*'Pesos GPS'!D$15+L39*'Pesos GPS'!D$16+'Pesos GPS'!D$17)</f>
        <v>4.331093897</v>
      </c>
      <c r="P39" s="5">
        <f>MAX(0,I39*'Pesos GPS'!E$13+J39*'Pesos GPS'!E$14+K39*'Pesos GPS'!E$15+L39*'Pesos GPS'!E$16+'Pesos GPS'!E$17)</f>
        <v>3.441248716</v>
      </c>
      <c r="Q39" s="5">
        <f>MAX(0,I39*'Pesos GPS'!F$13+J39*'Pesos GPS'!F$14+K39*'Pesos GPS'!F$15+L39*'Pesos GPS'!F$16+'Pesos GPS'!F$17)</f>
        <v>0</v>
      </c>
      <c r="R39" s="5">
        <f>MAX(0,I39*'Pesos GPS'!G$13+J39*'Pesos GPS'!G$14+K39*'Pesos GPS'!G$15+L39*'Pesos GPS'!G$16+'Pesos GPS'!G$17)</f>
        <v>1.078267012</v>
      </c>
      <c r="S39" s="5">
        <f>MAX(0,I39*'Pesos GPS'!H$13+J39*'Pesos GPS'!H$14+K39*'Pesos GPS'!H$15+L39*'Pesos GPS'!H$16+'Pesos GPS'!H$17)</f>
        <v>0.002861787565</v>
      </c>
      <c r="T39" s="5">
        <f>MAX(0,I39*'Pesos GPS'!I$13+J39*'Pesos GPS'!I$14+K39*'Pesos GPS'!I$15+L39*'Pesos GPS'!I$16+'Pesos GPS'!I$17)</f>
        <v>0</v>
      </c>
      <c r="U39" s="5">
        <f>M39*'Pesos GPS'!$B$22+N39*'Pesos GPS'!$B$23+O39*'Pesos GPS'!$B$24+P39*'Pesos GPS'!$B$25+Q39*'Pesos GPS'!$B$26+R39*'Pesos GPS'!$B$27+S39*'Pesos GPS'!$B$28+T39*'Pesos GPS'!$B$29+'Pesos GPS'!$B$30</f>
        <v>-4.187931714</v>
      </c>
      <c r="V39" s="5">
        <f t="shared" si="1"/>
        <v>0.01495072732</v>
      </c>
      <c r="W39" s="3">
        <f t="shared" si="2"/>
        <v>0</v>
      </c>
      <c r="X39" s="3">
        <f t="shared" si="3"/>
        <v>1</v>
      </c>
      <c r="Y39" s="9">
        <f t="shared" si="4"/>
        <v>0</v>
      </c>
      <c r="Z39" s="9">
        <v>0.014950727319881254</v>
      </c>
      <c r="AA39" s="3" t="str">
        <f t="shared" si="5"/>
        <v>OK</v>
      </c>
    </row>
    <row r="40" ht="15.75" customHeight="1">
      <c r="A40" s="3">
        <v>39.0</v>
      </c>
      <c r="B40" s="3" t="s">
        <v>15</v>
      </c>
      <c r="C40" s="7">
        <v>40.697959</v>
      </c>
      <c r="D40" s="7">
        <v>-74.040204</v>
      </c>
      <c r="E40" s="3">
        <v>0.0</v>
      </c>
      <c r="F40" s="3" t="s">
        <v>55</v>
      </c>
      <c r="G40" s="5">
        <f>(C40-'Pesos GPS'!$L$4)/'Pesos GPS'!$L$5</f>
        <v>0.9944331103</v>
      </c>
      <c r="H40" s="5">
        <f>(D40-'Pesos GPS'!$L$6)/'Pesos GPS'!$L$7</f>
        <v>-1.000312749</v>
      </c>
      <c r="I40" s="5">
        <f>MAX(0,G40*'Pesos GPS'!B$6+H40*'Pesos GPS'!B$7+'Pesos GPS'!B$8)</f>
        <v>2.666656399</v>
      </c>
      <c r="J40" s="5">
        <f>MAX(0,G40*'Pesos GPS'!C$6+H40*'Pesos GPS'!C$7+'Pesos GPS'!C$8)</f>
        <v>0.3536813232</v>
      </c>
      <c r="K40" s="5">
        <f>MAX(0,G40*'Pesos GPS'!D$6+H40*'Pesos GPS'!D$7+'Pesos GPS'!D$8)</f>
        <v>0.4714473072</v>
      </c>
      <c r="L40" s="5">
        <f>MAX(0,G40*'Pesos GPS'!E$6+H40*'Pesos GPS'!E$7+'Pesos GPS'!E$8)</f>
        <v>1.782621734</v>
      </c>
      <c r="M40" s="5">
        <f>MAX(0,I40*'Pesos GPS'!B$13+J40*'Pesos GPS'!B$14+K40*'Pesos GPS'!B$15+L40*'Pesos GPS'!B$16+'Pesos GPS'!B$17)</f>
        <v>0</v>
      </c>
      <c r="N40" s="5">
        <f>MAX(0,I40*'Pesos GPS'!C$13+J40*'Pesos GPS'!C$14+K40*'Pesos GPS'!C$15+L40*'Pesos GPS'!C$16+'Pesos GPS'!C$17)</f>
        <v>0</v>
      </c>
      <c r="O40" s="5">
        <f>MAX(0,I40*'Pesos GPS'!D$13+J40*'Pesos GPS'!D$14+K40*'Pesos GPS'!D$15+L40*'Pesos GPS'!D$16+'Pesos GPS'!D$17)</f>
        <v>4.331297251</v>
      </c>
      <c r="P40" s="5">
        <f>MAX(0,I40*'Pesos GPS'!E$13+J40*'Pesos GPS'!E$14+K40*'Pesos GPS'!E$15+L40*'Pesos GPS'!E$16+'Pesos GPS'!E$17)</f>
        <v>3.44147326</v>
      </c>
      <c r="Q40" s="5">
        <f>MAX(0,I40*'Pesos GPS'!F$13+J40*'Pesos GPS'!F$14+K40*'Pesos GPS'!F$15+L40*'Pesos GPS'!F$16+'Pesos GPS'!F$17)</f>
        <v>0</v>
      </c>
      <c r="R40" s="5">
        <f>MAX(0,I40*'Pesos GPS'!G$13+J40*'Pesos GPS'!G$14+K40*'Pesos GPS'!G$15+L40*'Pesos GPS'!G$16+'Pesos GPS'!G$17)</f>
        <v>1.07833547</v>
      </c>
      <c r="S40" s="5">
        <f>MAX(0,I40*'Pesos GPS'!H$13+J40*'Pesos GPS'!H$14+K40*'Pesos GPS'!H$15+L40*'Pesos GPS'!H$16+'Pesos GPS'!H$17)</f>
        <v>0.002826823336</v>
      </c>
      <c r="T40" s="5">
        <f>MAX(0,I40*'Pesos GPS'!I$13+J40*'Pesos GPS'!I$14+K40*'Pesos GPS'!I$15+L40*'Pesos GPS'!I$16+'Pesos GPS'!I$17)</f>
        <v>0</v>
      </c>
      <c r="U40" s="5">
        <f>M40*'Pesos GPS'!$B$22+N40*'Pesos GPS'!$B$23+O40*'Pesos GPS'!$B$24+P40*'Pesos GPS'!$B$25+Q40*'Pesos GPS'!$B$26+R40*'Pesos GPS'!$B$27+S40*'Pesos GPS'!$B$28+T40*'Pesos GPS'!$B$29+'Pesos GPS'!$B$30</f>
        <v>-4.188286792</v>
      </c>
      <c r="V40" s="5">
        <f t="shared" si="1"/>
        <v>0.01494549892</v>
      </c>
      <c r="W40" s="3">
        <f t="shared" si="2"/>
        <v>0</v>
      </c>
      <c r="X40" s="3">
        <f t="shared" si="3"/>
        <v>1</v>
      </c>
      <c r="Y40" s="9">
        <f t="shared" si="4"/>
        <v>0</v>
      </c>
      <c r="Z40" s="9">
        <v>0.01494549892078478</v>
      </c>
      <c r="AA40" s="3" t="str">
        <f t="shared" si="5"/>
        <v>OK</v>
      </c>
    </row>
    <row r="41" ht="15.75" customHeight="1">
      <c r="A41" s="3">
        <v>40.0</v>
      </c>
      <c r="B41" s="3" t="s">
        <v>15</v>
      </c>
      <c r="C41" s="7">
        <v>40.724511</v>
      </c>
      <c r="D41" s="7">
        <v>-73.964727</v>
      </c>
      <c r="E41" s="3">
        <v>0.0</v>
      </c>
      <c r="F41" s="3" t="s">
        <v>55</v>
      </c>
      <c r="G41" s="5">
        <f>(C41-'Pesos GPS'!$L$4)/'Pesos GPS'!$L$5</f>
        <v>1.004979647</v>
      </c>
      <c r="H41" s="5">
        <f>(D41-'Pesos GPS'!$L$6)/'Pesos GPS'!$L$7</f>
        <v>-0.9996062188</v>
      </c>
      <c r="I41" s="5">
        <f>MAX(0,G41*'Pesos GPS'!B$6+H41*'Pesos GPS'!B$7+'Pesos GPS'!B$8)</f>
        <v>2.669845237</v>
      </c>
      <c r="J41" s="5">
        <f>MAX(0,G41*'Pesos GPS'!C$6+H41*'Pesos GPS'!C$7+'Pesos GPS'!C$8)</f>
        <v>0.3420732941</v>
      </c>
      <c r="K41" s="5">
        <f>MAX(0,G41*'Pesos GPS'!D$6+H41*'Pesos GPS'!D$7+'Pesos GPS'!D$8)</f>
        <v>0.4789695016</v>
      </c>
      <c r="L41" s="5">
        <f>MAX(0,G41*'Pesos GPS'!E$6+H41*'Pesos GPS'!E$7+'Pesos GPS'!E$8)</f>
        <v>1.794062445</v>
      </c>
      <c r="M41" s="5">
        <f>MAX(0,I41*'Pesos GPS'!B$13+J41*'Pesos GPS'!B$14+K41*'Pesos GPS'!B$15+L41*'Pesos GPS'!B$16+'Pesos GPS'!B$17)</f>
        <v>0</v>
      </c>
      <c r="N41" s="5">
        <f>MAX(0,I41*'Pesos GPS'!C$13+J41*'Pesos GPS'!C$14+K41*'Pesos GPS'!C$15+L41*'Pesos GPS'!C$16+'Pesos GPS'!C$17)</f>
        <v>0</v>
      </c>
      <c r="O41" s="5">
        <f>MAX(0,I41*'Pesos GPS'!D$13+J41*'Pesos GPS'!D$14+K41*'Pesos GPS'!D$15+L41*'Pesos GPS'!D$16+'Pesos GPS'!D$17)</f>
        <v>4.337910457</v>
      </c>
      <c r="P41" s="5">
        <f>MAX(0,I41*'Pesos GPS'!E$13+J41*'Pesos GPS'!E$14+K41*'Pesos GPS'!E$15+L41*'Pesos GPS'!E$16+'Pesos GPS'!E$17)</f>
        <v>3.455900909</v>
      </c>
      <c r="Q41" s="5">
        <f>MAX(0,I41*'Pesos GPS'!F$13+J41*'Pesos GPS'!F$14+K41*'Pesos GPS'!F$15+L41*'Pesos GPS'!F$16+'Pesos GPS'!F$17)</f>
        <v>0</v>
      </c>
      <c r="R41" s="5">
        <f>MAX(0,I41*'Pesos GPS'!G$13+J41*'Pesos GPS'!G$14+K41*'Pesos GPS'!G$15+L41*'Pesos GPS'!G$16+'Pesos GPS'!G$17)</f>
        <v>1.082064188</v>
      </c>
      <c r="S41" s="5">
        <f>MAX(0,I41*'Pesos GPS'!H$13+J41*'Pesos GPS'!H$14+K41*'Pesos GPS'!H$15+L41*'Pesos GPS'!H$16+'Pesos GPS'!H$17)</f>
        <v>0</v>
      </c>
      <c r="T41" s="5">
        <f>MAX(0,I41*'Pesos GPS'!I$13+J41*'Pesos GPS'!I$14+K41*'Pesos GPS'!I$15+L41*'Pesos GPS'!I$16+'Pesos GPS'!I$17)</f>
        <v>0</v>
      </c>
      <c r="U41" s="5">
        <f>M41*'Pesos GPS'!$B$22+N41*'Pesos GPS'!$B$23+O41*'Pesos GPS'!$B$24+P41*'Pesos GPS'!$B$25+Q41*'Pesos GPS'!$B$26+R41*'Pesos GPS'!$B$27+S41*'Pesos GPS'!$B$28+T41*'Pesos GPS'!$B$29+'Pesos GPS'!$B$30</f>
        <v>-4.204352703</v>
      </c>
      <c r="V41" s="5">
        <f t="shared" si="1"/>
        <v>0.01471080843</v>
      </c>
      <c r="W41" s="3">
        <f t="shared" si="2"/>
        <v>0</v>
      </c>
      <c r="X41" s="3">
        <f t="shared" si="3"/>
        <v>1</v>
      </c>
      <c r="Y41" s="9">
        <f t="shared" si="4"/>
        <v>0</v>
      </c>
      <c r="Z41" s="9">
        <v>0.014710808427209166</v>
      </c>
      <c r="AA41" s="3" t="str">
        <f t="shared" si="5"/>
        <v>OK</v>
      </c>
    </row>
    <row r="42" ht="15.75" customHeight="1">
      <c r="A42" s="3">
        <v>41.0</v>
      </c>
      <c r="B42" s="3" t="s">
        <v>15</v>
      </c>
      <c r="C42" s="7">
        <v>40.726179</v>
      </c>
      <c r="D42" s="7">
        <v>-73.962908</v>
      </c>
      <c r="E42" s="3">
        <v>0.0</v>
      </c>
      <c r="F42" s="3" t="s">
        <v>55</v>
      </c>
      <c r="G42" s="5">
        <f>(C42-'Pesos GPS'!$L$4)/'Pesos GPS'!$L$5</f>
        <v>1.005642182</v>
      </c>
      <c r="H42" s="5">
        <f>(D42-'Pesos GPS'!$L$6)/'Pesos GPS'!$L$7</f>
        <v>-0.9995891914</v>
      </c>
      <c r="I42" s="5">
        <f>MAX(0,G42*'Pesos GPS'!B$6+H42*'Pesos GPS'!B$7+'Pesos GPS'!B$8)</f>
        <v>2.670102698</v>
      </c>
      <c r="J42" s="5">
        <f>MAX(0,G42*'Pesos GPS'!C$6+H42*'Pesos GPS'!C$7+'Pesos GPS'!C$8)</f>
        <v>0.3413804789</v>
      </c>
      <c r="K42" s="5">
        <f>MAX(0,G42*'Pesos GPS'!D$6+H42*'Pesos GPS'!D$7+'Pesos GPS'!D$8)</f>
        <v>0.4794372071</v>
      </c>
      <c r="L42" s="5">
        <f>MAX(0,G42*'Pesos GPS'!E$6+H42*'Pesos GPS'!E$7+'Pesos GPS'!E$8)</f>
        <v>1.794794653</v>
      </c>
      <c r="M42" s="5">
        <f>MAX(0,I42*'Pesos GPS'!B$13+J42*'Pesos GPS'!B$14+K42*'Pesos GPS'!B$15+L42*'Pesos GPS'!B$16+'Pesos GPS'!B$17)</f>
        <v>0</v>
      </c>
      <c r="N42" s="5">
        <f>MAX(0,I42*'Pesos GPS'!C$13+J42*'Pesos GPS'!C$14+K42*'Pesos GPS'!C$15+L42*'Pesos GPS'!C$16+'Pesos GPS'!C$17)</f>
        <v>0</v>
      </c>
      <c r="O42" s="5">
        <f>MAX(0,I42*'Pesos GPS'!D$13+J42*'Pesos GPS'!D$14+K42*'Pesos GPS'!D$15+L42*'Pesos GPS'!D$16+'Pesos GPS'!D$17)</f>
        <v>4.338414444</v>
      </c>
      <c r="P42" s="5">
        <f>MAX(0,I42*'Pesos GPS'!E$13+J42*'Pesos GPS'!E$14+K42*'Pesos GPS'!E$15+L42*'Pesos GPS'!E$16+'Pesos GPS'!E$17)</f>
        <v>3.45685469</v>
      </c>
      <c r="Q42" s="5">
        <f>MAX(0,I42*'Pesos GPS'!F$13+J42*'Pesos GPS'!F$14+K42*'Pesos GPS'!F$15+L42*'Pesos GPS'!F$16+'Pesos GPS'!F$17)</f>
        <v>0</v>
      </c>
      <c r="R42" s="5">
        <f>MAX(0,I42*'Pesos GPS'!G$13+J42*'Pesos GPS'!G$14+K42*'Pesos GPS'!G$15+L42*'Pesos GPS'!G$16+'Pesos GPS'!G$17)</f>
        <v>1.082317621</v>
      </c>
      <c r="S42" s="5">
        <f>MAX(0,I42*'Pesos GPS'!H$13+J42*'Pesos GPS'!H$14+K42*'Pesos GPS'!H$15+L42*'Pesos GPS'!H$16+'Pesos GPS'!H$17)</f>
        <v>0</v>
      </c>
      <c r="T42" s="5">
        <f>MAX(0,I42*'Pesos GPS'!I$13+J42*'Pesos GPS'!I$14+K42*'Pesos GPS'!I$15+L42*'Pesos GPS'!I$16+'Pesos GPS'!I$17)</f>
        <v>0</v>
      </c>
      <c r="U42" s="5">
        <f>M42*'Pesos GPS'!$B$22+N42*'Pesos GPS'!$B$23+O42*'Pesos GPS'!$B$24+P42*'Pesos GPS'!$B$25+Q42*'Pesos GPS'!$B$26+R42*'Pesos GPS'!$B$27+S42*'Pesos GPS'!$B$28+T42*'Pesos GPS'!$B$29+'Pesos GPS'!$B$30</f>
        <v>-4.205428657</v>
      </c>
      <c r="V42" s="5">
        <f t="shared" si="1"/>
        <v>0.01469522126</v>
      </c>
      <c r="W42" s="3">
        <f t="shared" si="2"/>
        <v>0</v>
      </c>
      <c r="X42" s="3">
        <f t="shared" si="3"/>
        <v>1</v>
      </c>
      <c r="Y42" s="9">
        <f t="shared" si="4"/>
        <v>0</v>
      </c>
      <c r="Z42" s="9">
        <v>0.014695221255456846</v>
      </c>
      <c r="AA42" s="3" t="str">
        <f t="shared" si="5"/>
        <v>OK</v>
      </c>
    </row>
    <row r="43" ht="15.75" customHeight="1">
      <c r="A43" s="3">
        <v>42.0</v>
      </c>
      <c r="B43" s="3" t="s">
        <v>15</v>
      </c>
      <c r="C43" s="7">
        <v>40.722577</v>
      </c>
      <c r="D43" s="7">
        <v>-74.010488</v>
      </c>
      <c r="E43" s="3">
        <v>0.0</v>
      </c>
      <c r="F43" s="3" t="s">
        <v>55</v>
      </c>
      <c r="G43" s="5">
        <f>(C43-'Pesos GPS'!$L$4)/'Pesos GPS'!$L$5</f>
        <v>1.004211456</v>
      </c>
      <c r="H43" s="5">
        <f>(D43-'Pesos GPS'!$L$6)/'Pesos GPS'!$L$7</f>
        <v>-1.000034582</v>
      </c>
      <c r="I43" s="5">
        <f>MAX(0,G43*'Pesos GPS'!B$6+H43*'Pesos GPS'!B$7+'Pesos GPS'!B$8)</f>
        <v>2.670400166</v>
      </c>
      <c r="J43" s="5">
        <f>MAX(0,G43*'Pesos GPS'!C$6+H43*'Pesos GPS'!C$7+'Pesos GPS'!C$8)</f>
        <v>0.343420328</v>
      </c>
      <c r="K43" s="5">
        <f>MAX(0,G43*'Pesos GPS'!D$6+H43*'Pesos GPS'!D$7+'Pesos GPS'!D$8)</f>
        <v>0.4783549211</v>
      </c>
      <c r="L43" s="5">
        <f>MAX(0,G43*'Pesos GPS'!E$6+H43*'Pesos GPS'!E$7+'Pesos GPS'!E$8)</f>
        <v>1.79341514</v>
      </c>
      <c r="M43" s="5">
        <f>MAX(0,I43*'Pesos GPS'!B$13+J43*'Pesos GPS'!B$14+K43*'Pesos GPS'!B$15+L43*'Pesos GPS'!B$16+'Pesos GPS'!B$17)</f>
        <v>0</v>
      </c>
      <c r="N43" s="5">
        <f>MAX(0,I43*'Pesos GPS'!C$13+J43*'Pesos GPS'!C$14+K43*'Pesos GPS'!C$15+L43*'Pesos GPS'!C$16+'Pesos GPS'!C$17)</f>
        <v>0</v>
      </c>
      <c r="O43" s="5">
        <f>MAX(0,I43*'Pesos GPS'!D$13+J43*'Pesos GPS'!D$14+K43*'Pesos GPS'!D$15+L43*'Pesos GPS'!D$16+'Pesos GPS'!D$17)</f>
        <v>4.338648654</v>
      </c>
      <c r="P43" s="5">
        <f>MAX(0,I43*'Pesos GPS'!E$13+J43*'Pesos GPS'!E$14+K43*'Pesos GPS'!E$15+L43*'Pesos GPS'!E$16+'Pesos GPS'!E$17)</f>
        <v>3.455503539</v>
      </c>
      <c r="Q43" s="5">
        <f>MAX(0,I43*'Pesos GPS'!F$13+J43*'Pesos GPS'!F$14+K43*'Pesos GPS'!F$15+L43*'Pesos GPS'!F$16+'Pesos GPS'!F$17)</f>
        <v>0</v>
      </c>
      <c r="R43" s="5">
        <f>MAX(0,I43*'Pesos GPS'!G$13+J43*'Pesos GPS'!G$14+K43*'Pesos GPS'!G$15+L43*'Pesos GPS'!G$16+'Pesos GPS'!G$17)</f>
        <v>1.082057034</v>
      </c>
      <c r="S43" s="5">
        <f>MAX(0,I43*'Pesos GPS'!H$13+J43*'Pesos GPS'!H$14+K43*'Pesos GPS'!H$15+L43*'Pesos GPS'!H$16+'Pesos GPS'!H$17)</f>
        <v>0</v>
      </c>
      <c r="T43" s="5">
        <f>MAX(0,I43*'Pesos GPS'!I$13+J43*'Pesos GPS'!I$14+K43*'Pesos GPS'!I$15+L43*'Pesos GPS'!I$16+'Pesos GPS'!I$17)</f>
        <v>0</v>
      </c>
      <c r="U43" s="5">
        <f>M43*'Pesos GPS'!$B$22+N43*'Pesos GPS'!$B$23+O43*'Pesos GPS'!$B$24+P43*'Pesos GPS'!$B$25+Q43*'Pesos GPS'!$B$26+R43*'Pesos GPS'!$B$27+S43*'Pesos GPS'!$B$28+T43*'Pesos GPS'!$B$29+'Pesos GPS'!$B$30</f>
        <v>-4.2049225</v>
      </c>
      <c r="V43" s="5">
        <f t="shared" si="1"/>
        <v>0.01470255184</v>
      </c>
      <c r="W43" s="3">
        <f t="shared" si="2"/>
        <v>0</v>
      </c>
      <c r="X43" s="3">
        <f t="shared" si="3"/>
        <v>1</v>
      </c>
      <c r="Y43" s="9">
        <f t="shared" si="4"/>
        <v>0</v>
      </c>
      <c r="Z43" s="9">
        <v>0.01470255184337106</v>
      </c>
      <c r="AA43" s="3" t="str">
        <f t="shared" si="5"/>
        <v>OK</v>
      </c>
    </row>
    <row r="44" ht="15.75" customHeight="1">
      <c r="A44" s="3">
        <v>43.0</v>
      </c>
      <c r="B44" s="3" t="s">
        <v>15</v>
      </c>
      <c r="C44" s="7">
        <v>40.700821</v>
      </c>
      <c r="D44" s="7">
        <v>-74.01558</v>
      </c>
      <c r="E44" s="3">
        <v>0.0</v>
      </c>
      <c r="F44" s="3" t="s">
        <v>55</v>
      </c>
      <c r="G44" s="5">
        <f>(C44-'Pesos GPS'!$L$4)/'Pesos GPS'!$L$5</f>
        <v>0.9955699056</v>
      </c>
      <c r="H44" s="5">
        <f>(D44-'Pesos GPS'!$L$6)/'Pesos GPS'!$L$7</f>
        <v>-1.000082247</v>
      </c>
      <c r="I44" s="5">
        <f>MAX(0,G44*'Pesos GPS'!B$6+H44*'Pesos GPS'!B$7+'Pesos GPS'!B$8)</f>
        <v>2.66667775</v>
      </c>
      <c r="J44" s="5">
        <f>MAX(0,G44*'Pesos GPS'!C$6+H44*'Pesos GPS'!C$7+'Pesos GPS'!C$8)</f>
        <v>0.3522247291</v>
      </c>
      <c r="K44" s="5">
        <f>MAX(0,G44*'Pesos GPS'!D$6+H44*'Pesos GPS'!D$7+'Pesos GPS'!D$8)</f>
        <v>0.4722854186</v>
      </c>
      <c r="L44" s="5">
        <f>MAX(0,G44*'Pesos GPS'!E$6+H44*'Pesos GPS'!E$7+'Pesos GPS'!E$8)</f>
        <v>1.783778734</v>
      </c>
      <c r="M44" s="5">
        <f>MAX(0,I44*'Pesos GPS'!B$13+J44*'Pesos GPS'!B$14+K44*'Pesos GPS'!B$15+L44*'Pesos GPS'!B$16+'Pesos GPS'!B$17)</f>
        <v>0</v>
      </c>
      <c r="N44" s="5">
        <f>MAX(0,I44*'Pesos GPS'!C$13+J44*'Pesos GPS'!C$14+K44*'Pesos GPS'!C$15+L44*'Pesos GPS'!C$16+'Pesos GPS'!C$17)</f>
        <v>0</v>
      </c>
      <c r="O44" s="5">
        <f>MAX(0,I44*'Pesos GPS'!D$13+J44*'Pesos GPS'!D$14+K44*'Pesos GPS'!D$15+L44*'Pesos GPS'!D$16+'Pesos GPS'!D$17)</f>
        <v>4.331510515</v>
      </c>
      <c r="P44" s="5">
        <f>MAX(0,I44*'Pesos GPS'!E$13+J44*'Pesos GPS'!E$14+K44*'Pesos GPS'!E$15+L44*'Pesos GPS'!E$16+'Pesos GPS'!E$17)</f>
        <v>3.442760771</v>
      </c>
      <c r="Q44" s="5">
        <f>MAX(0,I44*'Pesos GPS'!F$13+J44*'Pesos GPS'!F$14+K44*'Pesos GPS'!F$15+L44*'Pesos GPS'!F$16+'Pesos GPS'!F$17)</f>
        <v>0</v>
      </c>
      <c r="R44" s="5">
        <f>MAX(0,I44*'Pesos GPS'!G$13+J44*'Pesos GPS'!G$14+K44*'Pesos GPS'!G$15+L44*'Pesos GPS'!G$16+'Pesos GPS'!G$17)</f>
        <v>1.078629091</v>
      </c>
      <c r="S44" s="5">
        <f>MAX(0,I44*'Pesos GPS'!H$13+J44*'Pesos GPS'!H$14+K44*'Pesos GPS'!H$15+L44*'Pesos GPS'!H$16+'Pesos GPS'!H$17)</f>
        <v>0.002021866504</v>
      </c>
      <c r="T44" s="5">
        <f>MAX(0,I44*'Pesos GPS'!I$13+J44*'Pesos GPS'!I$14+K44*'Pesos GPS'!I$15+L44*'Pesos GPS'!I$16+'Pesos GPS'!I$17)</f>
        <v>0</v>
      </c>
      <c r="U44" s="5">
        <f>M44*'Pesos GPS'!$B$22+N44*'Pesos GPS'!$B$23+O44*'Pesos GPS'!$B$24+P44*'Pesos GPS'!$B$25+Q44*'Pesos GPS'!$B$26+R44*'Pesos GPS'!$B$27+S44*'Pesos GPS'!$B$28+T44*'Pesos GPS'!$B$29+'Pesos GPS'!$B$30</f>
        <v>-4.189486934</v>
      </c>
      <c r="V44" s="5">
        <f t="shared" si="1"/>
        <v>0.01492784055</v>
      </c>
      <c r="W44" s="3">
        <f t="shared" si="2"/>
        <v>0</v>
      </c>
      <c r="X44" s="3">
        <f t="shared" si="3"/>
        <v>1</v>
      </c>
      <c r="Y44" s="9">
        <f t="shared" si="4"/>
        <v>0</v>
      </c>
      <c r="Z44" s="9">
        <v>0.014927840547562347</v>
      </c>
      <c r="AA44" s="3" t="str">
        <f t="shared" si="5"/>
        <v>OK</v>
      </c>
    </row>
    <row r="45" ht="15.75" customHeight="1">
      <c r="A45" s="3">
        <v>44.0</v>
      </c>
      <c r="B45" s="3" t="s">
        <v>15</v>
      </c>
      <c r="C45" s="7">
        <v>40.716979</v>
      </c>
      <c r="D45" s="7">
        <v>-73.969464</v>
      </c>
      <c r="E45" s="3">
        <v>0.0</v>
      </c>
      <c r="F45" s="3" t="s">
        <v>55</v>
      </c>
      <c r="G45" s="5">
        <f>(C45-'Pesos GPS'!$L$4)/'Pesos GPS'!$L$5</f>
        <v>1.001987913</v>
      </c>
      <c r="H45" s="5">
        <f>(D45-'Pesos GPS'!$L$6)/'Pesos GPS'!$L$7</f>
        <v>-0.9996505613</v>
      </c>
      <c r="I45" s="5">
        <f>MAX(0,G45*'Pesos GPS'!B$6+H45*'Pesos GPS'!B$7+'Pesos GPS'!B$8)</f>
        <v>2.668614672</v>
      </c>
      <c r="J45" s="5">
        <f>MAX(0,G45*'Pesos GPS'!C$6+H45*'Pesos GPS'!C$7+'Pesos GPS'!C$8)</f>
        <v>0.3451584533</v>
      </c>
      <c r="K45" s="5">
        <f>MAX(0,G45*'Pesos GPS'!D$6+H45*'Pesos GPS'!D$7+'Pesos GPS'!D$8)</f>
        <v>0.4768632943</v>
      </c>
      <c r="L45" s="5">
        <f>MAX(0,G45*'Pesos GPS'!E$6+H45*'Pesos GPS'!E$7+'Pesos GPS'!E$8)</f>
        <v>1.790740029</v>
      </c>
      <c r="M45" s="5">
        <f>MAX(0,I45*'Pesos GPS'!B$13+J45*'Pesos GPS'!B$14+K45*'Pesos GPS'!B$15+L45*'Pesos GPS'!B$16+'Pesos GPS'!B$17)</f>
        <v>0</v>
      </c>
      <c r="N45" s="5">
        <f>MAX(0,I45*'Pesos GPS'!C$13+J45*'Pesos GPS'!C$14+K45*'Pesos GPS'!C$15+L45*'Pesos GPS'!C$16+'Pesos GPS'!C$17)</f>
        <v>0</v>
      </c>
      <c r="O45" s="5">
        <f>MAX(0,I45*'Pesos GPS'!D$13+J45*'Pesos GPS'!D$14+K45*'Pesos GPS'!D$15+L45*'Pesos GPS'!D$16+'Pesos GPS'!D$17)</f>
        <v>4.335529319</v>
      </c>
      <c r="P45" s="5">
        <f>MAX(0,I45*'Pesos GPS'!E$13+J45*'Pesos GPS'!E$14+K45*'Pesos GPS'!E$15+L45*'Pesos GPS'!E$16+'Pesos GPS'!E$17)</f>
        <v>3.451537593</v>
      </c>
      <c r="Q45" s="5">
        <f>MAX(0,I45*'Pesos GPS'!F$13+J45*'Pesos GPS'!F$14+K45*'Pesos GPS'!F$15+L45*'Pesos GPS'!F$16+'Pesos GPS'!F$17)</f>
        <v>0</v>
      </c>
      <c r="R45" s="5">
        <f>MAX(0,I45*'Pesos GPS'!G$13+J45*'Pesos GPS'!G$14+K45*'Pesos GPS'!G$15+L45*'Pesos GPS'!G$16+'Pesos GPS'!G$17)</f>
        <v>1.080896956</v>
      </c>
      <c r="S45" s="5">
        <f>MAX(0,I45*'Pesos GPS'!H$13+J45*'Pesos GPS'!H$14+K45*'Pesos GPS'!H$15+L45*'Pesos GPS'!H$16+'Pesos GPS'!H$17)</f>
        <v>0</v>
      </c>
      <c r="T45" s="5">
        <f>MAX(0,I45*'Pesos GPS'!I$13+J45*'Pesos GPS'!I$14+K45*'Pesos GPS'!I$15+L45*'Pesos GPS'!I$16+'Pesos GPS'!I$17)</f>
        <v>0</v>
      </c>
      <c r="U45" s="5">
        <f>M45*'Pesos GPS'!$B$22+N45*'Pesos GPS'!$B$23+O45*'Pesos GPS'!$B$24+P45*'Pesos GPS'!$B$25+Q45*'Pesos GPS'!$B$26+R45*'Pesos GPS'!$B$27+S45*'Pesos GPS'!$B$28+T45*'Pesos GPS'!$B$29+'Pesos GPS'!$B$30</f>
        <v>-4.199349387</v>
      </c>
      <c r="V45" s="5">
        <f t="shared" si="1"/>
        <v>0.01478350485</v>
      </c>
      <c r="W45" s="3">
        <f t="shared" si="2"/>
        <v>0</v>
      </c>
      <c r="X45" s="3">
        <f t="shared" si="3"/>
        <v>1</v>
      </c>
      <c r="Y45" s="9">
        <f t="shared" si="4"/>
        <v>0</v>
      </c>
      <c r="Z45" s="9">
        <v>0.01478350484683156</v>
      </c>
      <c r="AA45" s="3" t="str">
        <f t="shared" si="5"/>
        <v>OK</v>
      </c>
    </row>
    <row r="46" ht="15.75" customHeight="1">
      <c r="A46" s="3">
        <v>45.0</v>
      </c>
      <c r="B46" s="3" t="s">
        <v>15</v>
      </c>
      <c r="C46" s="7">
        <v>40.7149</v>
      </c>
      <c r="D46" s="7">
        <v>-74.033676</v>
      </c>
      <c r="E46" s="3">
        <v>0.0</v>
      </c>
      <c r="F46" s="3" t="s">
        <v>55</v>
      </c>
      <c r="G46" s="5">
        <f>(C46-'Pesos GPS'!$L$4)/'Pesos GPS'!$L$5</f>
        <v>1.001162128</v>
      </c>
      <c r="H46" s="5">
        <f>(D46-'Pesos GPS'!$L$6)/'Pesos GPS'!$L$7</f>
        <v>-1.000251641</v>
      </c>
      <c r="I46" s="5">
        <f>MAX(0,G46*'Pesos GPS'!B$6+H46*'Pesos GPS'!B$7+'Pesos GPS'!B$8)</f>
        <v>2.669504867</v>
      </c>
      <c r="J46" s="5">
        <f>MAX(0,G46*'Pesos GPS'!C$6+H46*'Pesos GPS'!C$7+'Pesos GPS'!C$8)</f>
        <v>0.3467935724</v>
      </c>
      <c r="K46" s="5">
        <f>MAX(0,G46*'Pesos GPS'!D$6+H46*'Pesos GPS'!D$7+'Pesos GPS'!D$8)</f>
        <v>0.4761777623</v>
      </c>
      <c r="L46" s="5">
        <f>MAX(0,G46*'Pesos GPS'!E$6+H46*'Pesos GPS'!E$7+'Pesos GPS'!E$8)</f>
        <v>1.790113586</v>
      </c>
      <c r="M46" s="5">
        <f>MAX(0,I46*'Pesos GPS'!B$13+J46*'Pesos GPS'!B$14+K46*'Pesos GPS'!B$15+L46*'Pesos GPS'!B$16+'Pesos GPS'!B$17)</f>
        <v>0</v>
      </c>
      <c r="N46" s="5">
        <f>MAX(0,I46*'Pesos GPS'!C$13+J46*'Pesos GPS'!C$14+K46*'Pesos GPS'!C$15+L46*'Pesos GPS'!C$16+'Pesos GPS'!C$17)</f>
        <v>0</v>
      </c>
      <c r="O46" s="5">
        <f>MAX(0,I46*'Pesos GPS'!D$13+J46*'Pesos GPS'!D$14+K46*'Pesos GPS'!D$15+L46*'Pesos GPS'!D$16+'Pesos GPS'!D$17)</f>
        <v>4.336777937</v>
      </c>
      <c r="P46" s="5">
        <f>MAX(0,I46*'Pesos GPS'!E$13+J46*'Pesos GPS'!E$14+K46*'Pesos GPS'!E$15+L46*'Pesos GPS'!E$16+'Pesos GPS'!E$17)</f>
        <v>3.451354222</v>
      </c>
      <c r="Q46" s="5">
        <f>MAX(0,I46*'Pesos GPS'!F$13+J46*'Pesos GPS'!F$14+K46*'Pesos GPS'!F$15+L46*'Pesos GPS'!F$16+'Pesos GPS'!F$17)</f>
        <v>0</v>
      </c>
      <c r="R46" s="5">
        <f>MAX(0,I46*'Pesos GPS'!G$13+J46*'Pesos GPS'!G$14+K46*'Pesos GPS'!G$15+L46*'Pesos GPS'!G$16+'Pesos GPS'!G$17)</f>
        <v>1.080987914</v>
      </c>
      <c r="S46" s="5">
        <f>MAX(0,I46*'Pesos GPS'!H$13+J46*'Pesos GPS'!H$14+K46*'Pesos GPS'!H$15+L46*'Pesos GPS'!H$16+'Pesos GPS'!H$17)</f>
        <v>0</v>
      </c>
      <c r="T46" s="5">
        <f>MAX(0,I46*'Pesos GPS'!I$13+J46*'Pesos GPS'!I$14+K46*'Pesos GPS'!I$15+L46*'Pesos GPS'!I$16+'Pesos GPS'!I$17)</f>
        <v>0</v>
      </c>
      <c r="U46" s="5">
        <f>M46*'Pesos GPS'!$B$22+N46*'Pesos GPS'!$B$23+O46*'Pesos GPS'!$B$24+P46*'Pesos GPS'!$B$25+Q46*'Pesos GPS'!$B$26+R46*'Pesos GPS'!$B$27+S46*'Pesos GPS'!$B$28+T46*'Pesos GPS'!$B$29+'Pesos GPS'!$B$30</f>
        <v>-4.200587228</v>
      </c>
      <c r="V46" s="5">
        <f t="shared" si="1"/>
        <v>0.01476548657</v>
      </c>
      <c r="W46" s="3">
        <f t="shared" si="2"/>
        <v>0</v>
      </c>
      <c r="X46" s="3">
        <f t="shared" si="3"/>
        <v>1</v>
      </c>
      <c r="Y46" s="9">
        <f t="shared" si="4"/>
        <v>0</v>
      </c>
      <c r="Z46" s="9">
        <v>0.014765486574971086</v>
      </c>
      <c r="AA46" s="3" t="str">
        <f t="shared" si="5"/>
        <v>OK</v>
      </c>
    </row>
    <row r="47" ht="15.75" customHeight="1">
      <c r="A47" s="3">
        <v>46.0</v>
      </c>
      <c r="B47" s="3" t="s">
        <v>15</v>
      </c>
      <c r="C47" s="7">
        <v>40.716736</v>
      </c>
      <c r="D47" s="7">
        <v>-74.028368</v>
      </c>
      <c r="E47" s="3">
        <v>0.0</v>
      </c>
      <c r="F47" s="3" t="s">
        <v>55</v>
      </c>
      <c r="G47" s="5">
        <f>(C47-'Pesos GPS'!$L$4)/'Pesos GPS'!$L$5</f>
        <v>1.001891393</v>
      </c>
      <c r="H47" s="5">
        <f>(D47-'Pesos GPS'!$L$6)/'Pesos GPS'!$L$7</f>
        <v>-1.000201954</v>
      </c>
      <c r="I47" s="5">
        <f>MAX(0,G47*'Pesos GPS'!B$6+H47*'Pesos GPS'!B$7+'Pesos GPS'!B$8)</f>
        <v>2.669723628</v>
      </c>
      <c r="J47" s="5">
        <f>MAX(0,G47*'Pesos GPS'!C$6+H47*'Pesos GPS'!C$7+'Pesos GPS'!C$8)</f>
        <v>0.3459898</v>
      </c>
      <c r="K47" s="5">
        <f>MAX(0,G47*'Pesos GPS'!D$6+H47*'Pesos GPS'!D$7+'Pesos GPS'!D$8)</f>
        <v>0.4766980493</v>
      </c>
      <c r="L47" s="5">
        <f>MAX(0,G47*'Pesos GPS'!E$6+H47*'Pesos GPS'!E$7+'Pesos GPS'!E$8)</f>
        <v>1.79090427</v>
      </c>
      <c r="M47" s="5">
        <f>MAX(0,I47*'Pesos GPS'!B$13+J47*'Pesos GPS'!B$14+K47*'Pesos GPS'!B$15+L47*'Pesos GPS'!B$16+'Pesos GPS'!B$17)</f>
        <v>0</v>
      </c>
      <c r="N47" s="5">
        <f>MAX(0,I47*'Pesos GPS'!C$13+J47*'Pesos GPS'!C$14+K47*'Pesos GPS'!C$15+L47*'Pesos GPS'!C$16+'Pesos GPS'!C$17)</f>
        <v>0</v>
      </c>
      <c r="O47" s="5">
        <f>MAX(0,I47*'Pesos GPS'!D$13+J47*'Pesos GPS'!D$14+K47*'Pesos GPS'!D$15+L47*'Pesos GPS'!D$16+'Pesos GPS'!D$17)</f>
        <v>4.337232528</v>
      </c>
      <c r="P47" s="5">
        <f>MAX(0,I47*'Pesos GPS'!E$13+J47*'Pesos GPS'!E$14+K47*'Pesos GPS'!E$15+L47*'Pesos GPS'!E$16+'Pesos GPS'!E$17)</f>
        <v>3.452350411</v>
      </c>
      <c r="Q47" s="5">
        <f>MAX(0,I47*'Pesos GPS'!F$13+J47*'Pesos GPS'!F$14+K47*'Pesos GPS'!F$15+L47*'Pesos GPS'!F$16+'Pesos GPS'!F$17)</f>
        <v>0</v>
      </c>
      <c r="R47" s="5">
        <f>MAX(0,I47*'Pesos GPS'!G$13+J47*'Pesos GPS'!G$14+K47*'Pesos GPS'!G$15+L47*'Pesos GPS'!G$16+'Pesos GPS'!G$17)</f>
        <v>1.08124516</v>
      </c>
      <c r="S47" s="5">
        <f>MAX(0,I47*'Pesos GPS'!H$13+J47*'Pesos GPS'!H$14+K47*'Pesos GPS'!H$15+L47*'Pesos GPS'!H$16+'Pesos GPS'!H$17)</f>
        <v>0</v>
      </c>
      <c r="T47" s="5">
        <f>MAX(0,I47*'Pesos GPS'!I$13+J47*'Pesos GPS'!I$14+K47*'Pesos GPS'!I$15+L47*'Pesos GPS'!I$16+'Pesos GPS'!I$17)</f>
        <v>0</v>
      </c>
      <c r="U47" s="5">
        <f>M47*'Pesos GPS'!$B$22+N47*'Pesos GPS'!$B$23+O47*'Pesos GPS'!$B$24+P47*'Pesos GPS'!$B$25+Q47*'Pesos GPS'!$B$26+R47*'Pesos GPS'!$B$27+S47*'Pesos GPS'!$B$28+T47*'Pesos GPS'!$B$29+'Pesos GPS'!$B$30</f>
        <v>-4.201633924</v>
      </c>
      <c r="V47" s="5">
        <f t="shared" si="1"/>
        <v>0.01475026754</v>
      </c>
      <c r="W47" s="3">
        <f t="shared" si="2"/>
        <v>0</v>
      </c>
      <c r="X47" s="3">
        <f t="shared" si="3"/>
        <v>1</v>
      </c>
      <c r="Y47" s="9">
        <f t="shared" si="4"/>
        <v>0</v>
      </c>
      <c r="Z47" s="9">
        <v>0.014750267536841648</v>
      </c>
      <c r="AA47" s="3" t="str">
        <f t="shared" si="5"/>
        <v>OK</v>
      </c>
    </row>
    <row r="48" ht="15.75" customHeight="1">
      <c r="A48" s="3">
        <v>47.0</v>
      </c>
      <c r="B48" s="3" t="s">
        <v>15</v>
      </c>
      <c r="C48" s="7">
        <v>40.728486</v>
      </c>
      <c r="D48" s="7">
        <v>-73.989917</v>
      </c>
      <c r="E48" s="3">
        <v>0.0</v>
      </c>
      <c r="F48" s="3" t="s">
        <v>55</v>
      </c>
      <c r="G48" s="5">
        <f>(C48-'Pesos GPS'!$L$4)/'Pesos GPS'!$L$5</f>
        <v>1.00655853</v>
      </c>
      <c r="H48" s="5">
        <f>(D48-'Pesos GPS'!$L$6)/'Pesos GPS'!$L$7</f>
        <v>-0.9998420191</v>
      </c>
      <c r="I48" s="5">
        <f>MAX(0,G48*'Pesos GPS'!B$6+H48*'Pesos GPS'!B$7+'Pesos GPS'!B$8)</f>
        <v>2.671036037</v>
      </c>
      <c r="J48" s="5">
        <f>MAX(0,G48*'Pesos GPS'!C$6+H48*'Pesos GPS'!C$7+'Pesos GPS'!C$8)</f>
        <v>0.3407900161</v>
      </c>
      <c r="K48" s="5">
        <f>MAX(0,G48*'Pesos GPS'!D$6+H48*'Pesos GPS'!D$7+'Pesos GPS'!D$8)</f>
        <v>0.4800351935</v>
      </c>
      <c r="L48" s="5">
        <f>MAX(0,G48*'Pesos GPS'!E$6+H48*'Pesos GPS'!E$7+'Pesos GPS'!E$8)</f>
        <v>1.795943771</v>
      </c>
      <c r="M48" s="5">
        <f>MAX(0,I48*'Pesos GPS'!B$13+J48*'Pesos GPS'!B$14+K48*'Pesos GPS'!B$15+L48*'Pesos GPS'!B$16+'Pesos GPS'!B$17)</f>
        <v>0</v>
      </c>
      <c r="N48" s="5">
        <f>MAX(0,I48*'Pesos GPS'!C$13+J48*'Pesos GPS'!C$14+K48*'Pesos GPS'!C$15+L48*'Pesos GPS'!C$16+'Pesos GPS'!C$17)</f>
        <v>0</v>
      </c>
      <c r="O48" s="5">
        <f>MAX(0,I48*'Pesos GPS'!D$13+J48*'Pesos GPS'!D$14+K48*'Pesos GPS'!D$15+L48*'Pesos GPS'!D$16+'Pesos GPS'!D$17)</f>
        <v>4.340006042</v>
      </c>
      <c r="P48" s="5">
        <f>MAX(0,I48*'Pesos GPS'!E$13+J48*'Pesos GPS'!E$14+K48*'Pesos GPS'!E$15+L48*'Pesos GPS'!E$16+'Pesos GPS'!E$17)</f>
        <v>3.458653076</v>
      </c>
      <c r="Q48" s="5">
        <f>MAX(0,I48*'Pesos GPS'!F$13+J48*'Pesos GPS'!F$14+K48*'Pesos GPS'!F$15+L48*'Pesos GPS'!F$16+'Pesos GPS'!F$17)</f>
        <v>0</v>
      </c>
      <c r="R48" s="5">
        <f>MAX(0,I48*'Pesos GPS'!G$13+J48*'Pesos GPS'!G$14+K48*'Pesos GPS'!G$15+L48*'Pesos GPS'!G$16+'Pesos GPS'!G$17)</f>
        <v>1.082862053</v>
      </c>
      <c r="S48" s="5">
        <f>MAX(0,I48*'Pesos GPS'!H$13+J48*'Pesos GPS'!H$14+K48*'Pesos GPS'!H$15+L48*'Pesos GPS'!H$16+'Pesos GPS'!H$17)</f>
        <v>0</v>
      </c>
      <c r="T48" s="5">
        <f>MAX(0,I48*'Pesos GPS'!I$13+J48*'Pesos GPS'!I$14+K48*'Pesos GPS'!I$15+L48*'Pesos GPS'!I$16+'Pesos GPS'!I$17)</f>
        <v>0</v>
      </c>
      <c r="U48" s="5">
        <f>M48*'Pesos GPS'!$B$22+N48*'Pesos GPS'!$B$23+O48*'Pesos GPS'!$B$24+P48*'Pesos GPS'!$B$25+Q48*'Pesos GPS'!$B$26+R48*'Pesos GPS'!$B$27+S48*'Pesos GPS'!$B$28+T48*'Pesos GPS'!$B$29+'Pesos GPS'!$B$30</f>
        <v>-4.208145994</v>
      </c>
      <c r="V48" s="5">
        <f t="shared" si="1"/>
        <v>0.01465592803</v>
      </c>
      <c r="W48" s="3">
        <f t="shared" si="2"/>
        <v>0</v>
      </c>
      <c r="X48" s="3">
        <f t="shared" si="3"/>
        <v>1</v>
      </c>
      <c r="Y48" s="9">
        <f t="shared" si="4"/>
        <v>0</v>
      </c>
      <c r="Z48" s="9">
        <v>0.014655928034647667</v>
      </c>
      <c r="AA48" s="3" t="str">
        <f t="shared" si="5"/>
        <v>OK</v>
      </c>
    </row>
    <row r="49" ht="15.75" customHeight="1">
      <c r="A49" s="3">
        <v>48.0</v>
      </c>
      <c r="B49" s="3" t="s">
        <v>15</v>
      </c>
      <c r="C49" s="7">
        <v>40.716825</v>
      </c>
      <c r="D49" s="7">
        <v>-74.015865</v>
      </c>
      <c r="E49" s="3">
        <v>0.0</v>
      </c>
      <c r="F49" s="3" t="s">
        <v>55</v>
      </c>
      <c r="G49" s="5">
        <f>(C49-'Pesos GPS'!$L$4)/'Pesos GPS'!$L$5</f>
        <v>1.001926744</v>
      </c>
      <c r="H49" s="5">
        <f>(D49-'Pesos GPS'!$L$6)/'Pesos GPS'!$L$7</f>
        <v>-1.000084915</v>
      </c>
      <c r="I49" s="5">
        <f>MAX(0,G49*'Pesos GPS'!B$6+H49*'Pesos GPS'!B$7+'Pesos GPS'!B$8)</f>
        <v>2.669494814</v>
      </c>
      <c r="J49" s="5">
        <f>MAX(0,G49*'Pesos GPS'!C$6+H49*'Pesos GPS'!C$7+'Pesos GPS'!C$8)</f>
        <v>0.3457983032</v>
      </c>
      <c r="K49" s="5">
        <f>MAX(0,G49*'Pesos GPS'!D$6+H49*'Pesos GPS'!D$7+'Pesos GPS'!D$8)</f>
        <v>0.4767435495</v>
      </c>
      <c r="L49" s="5">
        <f>MAX(0,G49*'Pesos GPS'!E$6+H49*'Pesos GPS'!E$7+'Pesos GPS'!E$8)</f>
        <v>1.790886023</v>
      </c>
      <c r="M49" s="5">
        <f>MAX(0,I49*'Pesos GPS'!B$13+J49*'Pesos GPS'!B$14+K49*'Pesos GPS'!B$15+L49*'Pesos GPS'!B$16+'Pesos GPS'!B$17)</f>
        <v>0</v>
      </c>
      <c r="N49" s="5">
        <f>MAX(0,I49*'Pesos GPS'!C$13+J49*'Pesos GPS'!C$14+K49*'Pesos GPS'!C$15+L49*'Pesos GPS'!C$16+'Pesos GPS'!C$17)</f>
        <v>0</v>
      </c>
      <c r="O49" s="5">
        <f>MAX(0,I49*'Pesos GPS'!D$13+J49*'Pesos GPS'!D$14+K49*'Pesos GPS'!D$15+L49*'Pesos GPS'!D$16+'Pesos GPS'!D$17)</f>
        <v>4.336883546</v>
      </c>
      <c r="P49" s="5">
        <f>MAX(0,I49*'Pesos GPS'!E$13+J49*'Pesos GPS'!E$14+K49*'Pesos GPS'!E$15+L49*'Pesos GPS'!E$16+'Pesos GPS'!E$17)</f>
        <v>3.452199942</v>
      </c>
      <c r="Q49" s="5">
        <f>MAX(0,I49*'Pesos GPS'!F$13+J49*'Pesos GPS'!F$14+K49*'Pesos GPS'!F$15+L49*'Pesos GPS'!F$16+'Pesos GPS'!F$17)</f>
        <v>0</v>
      </c>
      <c r="R49" s="5">
        <f>MAX(0,I49*'Pesos GPS'!G$13+J49*'Pesos GPS'!G$14+K49*'Pesos GPS'!G$15+L49*'Pesos GPS'!G$16+'Pesos GPS'!G$17)</f>
        <v>1.081177204</v>
      </c>
      <c r="S49" s="5">
        <f>MAX(0,I49*'Pesos GPS'!H$13+J49*'Pesos GPS'!H$14+K49*'Pesos GPS'!H$15+L49*'Pesos GPS'!H$16+'Pesos GPS'!H$17)</f>
        <v>0</v>
      </c>
      <c r="T49" s="5">
        <f>MAX(0,I49*'Pesos GPS'!I$13+J49*'Pesos GPS'!I$14+K49*'Pesos GPS'!I$15+L49*'Pesos GPS'!I$16+'Pesos GPS'!I$17)</f>
        <v>0</v>
      </c>
      <c r="U49" s="5">
        <f>M49*'Pesos GPS'!$B$22+N49*'Pesos GPS'!$B$23+O49*'Pesos GPS'!$B$24+P49*'Pesos GPS'!$B$25+Q49*'Pesos GPS'!$B$26+R49*'Pesos GPS'!$B$27+S49*'Pesos GPS'!$B$28+T49*'Pesos GPS'!$B$29+'Pesos GPS'!$B$30</f>
        <v>-4.201174844</v>
      </c>
      <c r="V49" s="5">
        <f t="shared" si="1"/>
        <v>0.01475694069</v>
      </c>
      <c r="W49" s="3">
        <f t="shared" si="2"/>
        <v>0</v>
      </c>
      <c r="X49" s="3">
        <f t="shared" si="3"/>
        <v>1</v>
      </c>
      <c r="Y49" s="9">
        <f t="shared" si="4"/>
        <v>0</v>
      </c>
      <c r="Z49" s="9">
        <v>0.014756940690681392</v>
      </c>
      <c r="AA49" s="3" t="str">
        <f t="shared" si="5"/>
        <v>OK</v>
      </c>
    </row>
    <row r="50" ht="15.75" customHeight="1">
      <c r="A50" s="3">
        <v>49.0</v>
      </c>
      <c r="B50" s="3" t="s">
        <v>15</v>
      </c>
      <c r="C50" s="7">
        <v>40.72502</v>
      </c>
      <c r="D50" s="7">
        <v>-74.006128</v>
      </c>
      <c r="E50" s="3">
        <v>0.0</v>
      </c>
      <c r="F50" s="3" t="s">
        <v>55</v>
      </c>
      <c r="G50" s="5">
        <f>(C50-'Pesos GPS'!$L$4)/'Pesos GPS'!$L$5</f>
        <v>1.005181824</v>
      </c>
      <c r="H50" s="5">
        <f>(D50-'Pesos GPS'!$L$6)/'Pesos GPS'!$L$7</f>
        <v>-0.9999937681</v>
      </c>
      <c r="I50" s="5">
        <f>MAX(0,G50*'Pesos GPS'!B$6+H50*'Pesos GPS'!B$7+'Pesos GPS'!B$8)</f>
        <v>2.670744095</v>
      </c>
      <c r="J50" s="5">
        <f>MAX(0,G50*'Pesos GPS'!C$6+H50*'Pesos GPS'!C$7+'Pesos GPS'!C$8)</f>
        <v>0.3423844877</v>
      </c>
      <c r="K50" s="5">
        <f>MAX(0,G50*'Pesos GPS'!D$6+H50*'Pesos GPS'!D$7+'Pesos GPS'!D$8)</f>
        <v>0.4790427441</v>
      </c>
      <c r="L50" s="5">
        <f>MAX(0,G50*'Pesos GPS'!E$6+H50*'Pesos GPS'!E$7+'Pesos GPS'!E$8)</f>
        <v>1.794479719</v>
      </c>
      <c r="M50" s="5">
        <f>MAX(0,I50*'Pesos GPS'!B$13+J50*'Pesos GPS'!B$14+K50*'Pesos GPS'!B$15+L50*'Pesos GPS'!B$16+'Pesos GPS'!B$17)</f>
        <v>0</v>
      </c>
      <c r="N50" s="5">
        <f>MAX(0,I50*'Pesos GPS'!C$13+J50*'Pesos GPS'!C$14+K50*'Pesos GPS'!C$15+L50*'Pesos GPS'!C$16+'Pesos GPS'!C$17)</f>
        <v>0</v>
      </c>
      <c r="O50" s="5">
        <f>MAX(0,I50*'Pesos GPS'!D$13+J50*'Pesos GPS'!D$14+K50*'Pesos GPS'!D$15+L50*'Pesos GPS'!D$16+'Pesos GPS'!D$17)</f>
        <v>4.339335427</v>
      </c>
      <c r="P50" s="5">
        <f>MAX(0,I50*'Pesos GPS'!E$13+J50*'Pesos GPS'!E$14+K50*'Pesos GPS'!E$15+L50*'Pesos GPS'!E$16+'Pesos GPS'!E$17)</f>
        <v>3.456872949</v>
      </c>
      <c r="Q50" s="5">
        <f>MAX(0,I50*'Pesos GPS'!F$13+J50*'Pesos GPS'!F$14+K50*'Pesos GPS'!F$15+L50*'Pesos GPS'!F$16+'Pesos GPS'!F$17)</f>
        <v>0</v>
      </c>
      <c r="R50" s="5">
        <f>MAX(0,I50*'Pesos GPS'!G$13+J50*'Pesos GPS'!G$14+K50*'Pesos GPS'!G$15+L50*'Pesos GPS'!G$16+'Pesos GPS'!G$17)</f>
        <v>1.082417081</v>
      </c>
      <c r="S50" s="5">
        <f>MAX(0,I50*'Pesos GPS'!H$13+J50*'Pesos GPS'!H$14+K50*'Pesos GPS'!H$15+L50*'Pesos GPS'!H$16+'Pesos GPS'!H$17)</f>
        <v>0</v>
      </c>
      <c r="T50" s="5">
        <f>MAX(0,I50*'Pesos GPS'!I$13+J50*'Pesos GPS'!I$14+K50*'Pesos GPS'!I$15+L50*'Pesos GPS'!I$16+'Pesos GPS'!I$17)</f>
        <v>0</v>
      </c>
      <c r="U50" s="5">
        <f>M50*'Pesos GPS'!$B$22+N50*'Pesos GPS'!$B$23+O50*'Pesos GPS'!$B$24+P50*'Pesos GPS'!$B$25+Q50*'Pesos GPS'!$B$26+R50*'Pesos GPS'!$B$27+S50*'Pesos GPS'!$B$28+T50*'Pesos GPS'!$B$29+'Pesos GPS'!$B$30</f>
        <v>-4.206427771</v>
      </c>
      <c r="V50" s="5">
        <f t="shared" si="1"/>
        <v>0.01468076183</v>
      </c>
      <c r="W50" s="3">
        <f t="shared" si="2"/>
        <v>0</v>
      </c>
      <c r="X50" s="3">
        <f t="shared" si="3"/>
        <v>1</v>
      </c>
      <c r="Y50" s="9">
        <f t="shared" si="4"/>
        <v>0</v>
      </c>
      <c r="Z50" s="9">
        <v>0.014680761826618826</v>
      </c>
      <c r="AA50" s="3" t="str">
        <f t="shared" si="5"/>
        <v>OK</v>
      </c>
    </row>
    <row r="51" ht="15.75" customHeight="1">
      <c r="A51" s="3">
        <v>50.0</v>
      </c>
      <c r="B51" s="3" t="s">
        <v>15</v>
      </c>
      <c r="C51" s="7">
        <v>40.714016</v>
      </c>
      <c r="D51" s="7">
        <v>-74.010086</v>
      </c>
      <c r="E51" s="3">
        <v>0.0</v>
      </c>
      <c r="F51" s="3" t="s">
        <v>55</v>
      </c>
      <c r="G51" s="5">
        <f>(C51-'Pesos GPS'!$L$4)/'Pesos GPS'!$L$5</f>
        <v>1.000811001</v>
      </c>
      <c r="H51" s="5">
        <f>(D51-'Pesos GPS'!$L$6)/'Pesos GPS'!$L$7</f>
        <v>-1.000030818</v>
      </c>
      <c r="I51" s="5">
        <f>MAX(0,G51*'Pesos GPS'!B$6+H51*'Pesos GPS'!B$7+'Pesos GPS'!B$8)</f>
        <v>2.668888358</v>
      </c>
      <c r="J51" s="5">
        <f>MAX(0,G51*'Pesos GPS'!C$6+H51*'Pesos GPS'!C$7+'Pesos GPS'!C$8)</f>
        <v>0.3468548997</v>
      </c>
      <c r="K51" s="5">
        <f>MAX(0,G51*'Pesos GPS'!D$6+H51*'Pesos GPS'!D$7+'Pesos GPS'!D$8)</f>
        <v>0.4759705519</v>
      </c>
      <c r="L51" s="5">
        <f>MAX(0,G51*'Pesos GPS'!E$6+H51*'Pesos GPS'!E$7+'Pesos GPS'!E$8)</f>
        <v>1.789612094</v>
      </c>
      <c r="M51" s="5">
        <f>MAX(0,I51*'Pesos GPS'!B$13+J51*'Pesos GPS'!B$14+K51*'Pesos GPS'!B$15+L51*'Pesos GPS'!B$16+'Pesos GPS'!B$17)</f>
        <v>0</v>
      </c>
      <c r="N51" s="5">
        <f>MAX(0,I51*'Pesos GPS'!C$13+J51*'Pesos GPS'!C$14+K51*'Pesos GPS'!C$15+L51*'Pesos GPS'!C$16+'Pesos GPS'!C$17)</f>
        <v>0</v>
      </c>
      <c r="O51" s="5">
        <f>MAX(0,I51*'Pesos GPS'!D$13+J51*'Pesos GPS'!D$14+K51*'Pesos GPS'!D$15+L51*'Pesos GPS'!D$16+'Pesos GPS'!D$17)</f>
        <v>4.335766904</v>
      </c>
      <c r="P51" s="5">
        <f>MAX(0,I51*'Pesos GPS'!E$13+J51*'Pesos GPS'!E$14+K51*'Pesos GPS'!E$15+L51*'Pesos GPS'!E$16+'Pesos GPS'!E$17)</f>
        <v>3.450450205</v>
      </c>
      <c r="Q51" s="5">
        <f>MAX(0,I51*'Pesos GPS'!F$13+J51*'Pesos GPS'!F$14+K51*'Pesos GPS'!F$15+L51*'Pesos GPS'!F$16+'Pesos GPS'!F$17)</f>
        <v>0</v>
      </c>
      <c r="R51" s="5">
        <f>MAX(0,I51*'Pesos GPS'!G$13+J51*'Pesos GPS'!G$14+K51*'Pesos GPS'!G$15+L51*'Pesos GPS'!G$16+'Pesos GPS'!G$17)</f>
        <v>1.080692336</v>
      </c>
      <c r="S51" s="5">
        <f>MAX(0,I51*'Pesos GPS'!H$13+J51*'Pesos GPS'!H$14+K51*'Pesos GPS'!H$15+L51*'Pesos GPS'!H$16+'Pesos GPS'!H$17)</f>
        <v>0</v>
      </c>
      <c r="T51" s="5">
        <f>MAX(0,I51*'Pesos GPS'!I$13+J51*'Pesos GPS'!I$14+K51*'Pesos GPS'!I$15+L51*'Pesos GPS'!I$16+'Pesos GPS'!I$17)</f>
        <v>0</v>
      </c>
      <c r="U51" s="5">
        <f>M51*'Pesos GPS'!$B$22+N51*'Pesos GPS'!$B$23+O51*'Pesos GPS'!$B$24+P51*'Pesos GPS'!$B$25+Q51*'Pesos GPS'!$B$26+R51*'Pesos GPS'!$B$27+S51*'Pesos GPS'!$B$28+T51*'Pesos GPS'!$B$29+'Pesos GPS'!$B$30</f>
        <v>-4.198994754</v>
      </c>
      <c r="V51" s="5">
        <f t="shared" si="1"/>
        <v>0.01478867095</v>
      </c>
      <c r="W51" s="3">
        <f t="shared" si="2"/>
        <v>0</v>
      </c>
      <c r="X51" s="3">
        <f t="shared" si="3"/>
        <v>1</v>
      </c>
      <c r="Y51" s="9">
        <f t="shared" si="4"/>
        <v>0</v>
      </c>
      <c r="Z51" s="9">
        <v>0.014788670951657859</v>
      </c>
      <c r="AA51" s="3" t="str">
        <f t="shared" si="5"/>
        <v>OK</v>
      </c>
    </row>
    <row r="52" ht="15.75" customHeight="1">
      <c r="A52" s="3">
        <v>51.0</v>
      </c>
      <c r="B52" s="3" t="s">
        <v>15</v>
      </c>
      <c r="C52" s="7">
        <v>40.718004</v>
      </c>
      <c r="D52" s="7">
        <v>-73.997561</v>
      </c>
      <c r="E52" s="3">
        <v>0.0</v>
      </c>
      <c r="F52" s="3" t="s">
        <v>55</v>
      </c>
      <c r="G52" s="5">
        <f>(C52-'Pesos GPS'!$L$4)/'Pesos GPS'!$L$5</f>
        <v>1.002395047</v>
      </c>
      <c r="H52" s="5">
        <f>(D52-'Pesos GPS'!$L$6)/'Pesos GPS'!$L$7</f>
        <v>-0.9999135736</v>
      </c>
      <c r="I52" s="5">
        <f>MAX(0,G52*'Pesos GPS'!B$6+H52*'Pesos GPS'!B$7+'Pesos GPS'!B$8)</f>
        <v>2.669344069</v>
      </c>
      <c r="J52" s="5">
        <f>MAX(0,G52*'Pesos GPS'!C$6+H52*'Pesos GPS'!C$7+'Pesos GPS'!C$8)</f>
        <v>0.3450966158</v>
      </c>
      <c r="K52" s="5">
        <f>MAX(0,G52*'Pesos GPS'!D$6+H52*'Pesos GPS'!D$7+'Pesos GPS'!D$8)</f>
        <v>0.4771023227</v>
      </c>
      <c r="L52" s="5">
        <f>MAX(0,G52*'Pesos GPS'!E$6+H52*'Pesos GPS'!E$7+'Pesos GPS'!E$8)</f>
        <v>1.791324949</v>
      </c>
      <c r="M52" s="5">
        <f>MAX(0,I52*'Pesos GPS'!B$13+J52*'Pesos GPS'!B$14+K52*'Pesos GPS'!B$15+L52*'Pesos GPS'!B$16+'Pesos GPS'!B$17)</f>
        <v>0</v>
      </c>
      <c r="N52" s="5">
        <f>MAX(0,I52*'Pesos GPS'!C$13+J52*'Pesos GPS'!C$14+K52*'Pesos GPS'!C$15+L52*'Pesos GPS'!C$16+'Pesos GPS'!C$17)</f>
        <v>0</v>
      </c>
      <c r="O52" s="5">
        <f>MAX(0,I52*'Pesos GPS'!D$13+J52*'Pesos GPS'!D$14+K52*'Pesos GPS'!D$15+L52*'Pesos GPS'!D$16+'Pesos GPS'!D$17)</f>
        <v>4.336724166</v>
      </c>
      <c r="P52" s="5">
        <f>MAX(0,I52*'Pesos GPS'!E$13+J52*'Pesos GPS'!E$14+K52*'Pesos GPS'!E$15+L52*'Pesos GPS'!E$16+'Pesos GPS'!E$17)</f>
        <v>3.452597884</v>
      </c>
      <c r="Q52" s="5">
        <f>MAX(0,I52*'Pesos GPS'!F$13+J52*'Pesos GPS'!F$14+K52*'Pesos GPS'!F$15+L52*'Pesos GPS'!F$16+'Pesos GPS'!F$17)</f>
        <v>0</v>
      </c>
      <c r="R52" s="5">
        <f>MAX(0,I52*'Pesos GPS'!G$13+J52*'Pesos GPS'!G$14+K52*'Pesos GPS'!G$15+L52*'Pesos GPS'!G$16+'Pesos GPS'!G$17)</f>
        <v>1.081244567</v>
      </c>
      <c r="S52" s="5">
        <f>MAX(0,I52*'Pesos GPS'!H$13+J52*'Pesos GPS'!H$14+K52*'Pesos GPS'!H$15+L52*'Pesos GPS'!H$16+'Pesos GPS'!H$17)</f>
        <v>0</v>
      </c>
      <c r="T52" s="5">
        <f>MAX(0,I52*'Pesos GPS'!I$13+J52*'Pesos GPS'!I$14+K52*'Pesos GPS'!I$15+L52*'Pesos GPS'!I$16+'Pesos GPS'!I$17)</f>
        <v>0</v>
      </c>
      <c r="U52" s="5">
        <f>M52*'Pesos GPS'!$B$22+N52*'Pesos GPS'!$B$23+O52*'Pesos GPS'!$B$24+P52*'Pesos GPS'!$B$25+Q52*'Pesos GPS'!$B$26+R52*'Pesos GPS'!$B$27+S52*'Pesos GPS'!$B$28+T52*'Pesos GPS'!$B$29+'Pesos GPS'!$B$30</f>
        <v>-4.201226853</v>
      </c>
      <c r="V52" s="5">
        <f t="shared" si="1"/>
        <v>0.01475618454</v>
      </c>
      <c r="W52" s="3">
        <f t="shared" si="2"/>
        <v>0</v>
      </c>
      <c r="X52" s="3">
        <f t="shared" si="3"/>
        <v>1</v>
      </c>
      <c r="Y52" s="9">
        <f t="shared" si="4"/>
        <v>0</v>
      </c>
      <c r="Z52" s="9">
        <v>0.014756184535615216</v>
      </c>
      <c r="AA52" s="3" t="str">
        <f t="shared" si="5"/>
        <v>OK</v>
      </c>
    </row>
    <row r="53" ht="15.75" customHeight="1">
      <c r="A53" s="3">
        <v>52.0</v>
      </c>
      <c r="B53" s="3" t="s">
        <v>15</v>
      </c>
      <c r="C53" s="7">
        <v>40.724163</v>
      </c>
      <c r="D53" s="7">
        <v>-73.970813</v>
      </c>
      <c r="E53" s="3">
        <v>0.0</v>
      </c>
      <c r="F53" s="3" t="s">
        <v>55</v>
      </c>
      <c r="G53" s="5">
        <f>(C53-'Pesos GPS'!$L$4)/'Pesos GPS'!$L$5</f>
        <v>1.004841421</v>
      </c>
      <c r="H53" s="5">
        <f>(D53-'Pesos GPS'!$L$6)/'Pesos GPS'!$L$7</f>
        <v>-0.9996631891</v>
      </c>
      <c r="I53" s="5">
        <f>MAX(0,G53*'Pesos GPS'!B$6+H53*'Pesos GPS'!B$7+'Pesos GPS'!B$8)</f>
        <v>2.669903091</v>
      </c>
      <c r="J53" s="5">
        <f>MAX(0,G53*'Pesos GPS'!C$6+H53*'Pesos GPS'!C$7+'Pesos GPS'!C$8)</f>
        <v>0.3422889191</v>
      </c>
      <c r="K53" s="5">
        <f>MAX(0,G53*'Pesos GPS'!D$6+H53*'Pesos GPS'!D$7+'Pesos GPS'!D$8)</f>
        <v>0.4788624727</v>
      </c>
      <c r="L53" s="5">
        <f>MAX(0,G53*'Pesos GPS'!E$6+H53*'Pesos GPS'!E$7+'Pesos GPS'!E$8)</f>
        <v>1.793936046</v>
      </c>
      <c r="M53" s="5">
        <f>MAX(0,I53*'Pesos GPS'!B$13+J53*'Pesos GPS'!B$14+K53*'Pesos GPS'!B$15+L53*'Pesos GPS'!B$16+'Pesos GPS'!B$17)</f>
        <v>0</v>
      </c>
      <c r="N53" s="5">
        <f>MAX(0,I53*'Pesos GPS'!C$13+J53*'Pesos GPS'!C$14+K53*'Pesos GPS'!C$15+L53*'Pesos GPS'!C$16+'Pesos GPS'!C$17)</f>
        <v>0</v>
      </c>
      <c r="O53" s="5">
        <f>MAX(0,I53*'Pesos GPS'!D$13+J53*'Pesos GPS'!D$14+K53*'Pesos GPS'!D$15+L53*'Pesos GPS'!D$16+'Pesos GPS'!D$17)</f>
        <v>4.337978203</v>
      </c>
      <c r="P53" s="5">
        <f>MAX(0,I53*'Pesos GPS'!E$13+J53*'Pesos GPS'!E$14+K53*'Pesos GPS'!E$15+L53*'Pesos GPS'!E$16+'Pesos GPS'!E$17)</f>
        <v>3.45579454</v>
      </c>
      <c r="Q53" s="5">
        <f>MAX(0,I53*'Pesos GPS'!F$13+J53*'Pesos GPS'!F$14+K53*'Pesos GPS'!F$15+L53*'Pesos GPS'!F$16+'Pesos GPS'!F$17)</f>
        <v>0</v>
      </c>
      <c r="R53" s="5">
        <f>MAX(0,I53*'Pesos GPS'!G$13+J53*'Pesos GPS'!G$14+K53*'Pesos GPS'!G$15+L53*'Pesos GPS'!G$16+'Pesos GPS'!G$17)</f>
        <v>1.082048792</v>
      </c>
      <c r="S53" s="5">
        <f>MAX(0,I53*'Pesos GPS'!H$13+J53*'Pesos GPS'!H$14+K53*'Pesos GPS'!H$15+L53*'Pesos GPS'!H$16+'Pesos GPS'!H$17)</f>
        <v>0</v>
      </c>
      <c r="T53" s="5">
        <f>MAX(0,I53*'Pesos GPS'!I$13+J53*'Pesos GPS'!I$14+K53*'Pesos GPS'!I$15+L53*'Pesos GPS'!I$16+'Pesos GPS'!I$17)</f>
        <v>0</v>
      </c>
      <c r="U53" s="5">
        <f>M53*'Pesos GPS'!$B$22+N53*'Pesos GPS'!$B$23+O53*'Pesos GPS'!$B$24+P53*'Pesos GPS'!$B$25+Q53*'Pesos GPS'!$B$26+R53*'Pesos GPS'!$B$27+S53*'Pesos GPS'!$B$28+T53*'Pesos GPS'!$B$29+'Pesos GPS'!$B$30</f>
        <v>-4.204365799</v>
      </c>
      <c r="V53" s="5">
        <f t="shared" si="1"/>
        <v>0.01471061861</v>
      </c>
      <c r="W53" s="3">
        <f t="shared" si="2"/>
        <v>0</v>
      </c>
      <c r="X53" s="3">
        <f t="shared" si="3"/>
        <v>1</v>
      </c>
      <c r="Y53" s="9">
        <f t="shared" si="4"/>
        <v>0</v>
      </c>
      <c r="Z53" s="9">
        <v>0.014710618613200853</v>
      </c>
      <c r="AA53" s="3" t="str">
        <f t="shared" si="5"/>
        <v>OK</v>
      </c>
    </row>
    <row r="54" ht="15.75" customHeight="1">
      <c r="A54" s="3">
        <v>53.0</v>
      </c>
      <c r="B54" s="3" t="s">
        <v>15</v>
      </c>
      <c r="C54" s="7">
        <v>40.686571</v>
      </c>
      <c r="D54" s="7">
        <v>-74.003735</v>
      </c>
      <c r="E54" s="3">
        <v>0.0</v>
      </c>
      <c r="F54" s="3" t="s">
        <v>55</v>
      </c>
      <c r="G54" s="5">
        <f>(C54-'Pesos GPS'!$L$4)/'Pesos GPS'!$L$5</f>
        <v>0.9899097612</v>
      </c>
      <c r="H54" s="5">
        <f>(D54-'Pesos GPS'!$L$6)/'Pesos GPS'!$L$7</f>
        <v>-0.9999713676</v>
      </c>
      <c r="I54" s="5">
        <f>MAX(0,G54*'Pesos GPS'!B$6+H54*'Pesos GPS'!B$7+'Pesos GPS'!B$8)</f>
        <v>2.663942807</v>
      </c>
      <c r="J54" s="5">
        <f>MAX(0,G54*'Pesos GPS'!C$6+H54*'Pesos GPS'!C$7+'Pesos GPS'!C$8)</f>
        <v>0.3578024522</v>
      </c>
      <c r="K54" s="5">
        <f>MAX(0,G54*'Pesos GPS'!D$6+H54*'Pesos GPS'!D$7+'Pesos GPS'!D$8)</f>
        <v>0.4683350836</v>
      </c>
      <c r="L54" s="5">
        <f>MAX(0,G54*'Pesos GPS'!E$6+H54*'Pesos GPS'!E$7+'Pesos GPS'!E$8)</f>
        <v>1.777396835</v>
      </c>
      <c r="M54" s="5">
        <f>MAX(0,I54*'Pesos GPS'!B$13+J54*'Pesos GPS'!B$14+K54*'Pesos GPS'!B$15+L54*'Pesos GPS'!B$16+'Pesos GPS'!B$17)</f>
        <v>0</v>
      </c>
      <c r="N54" s="5">
        <f>MAX(0,I54*'Pesos GPS'!C$13+J54*'Pesos GPS'!C$14+K54*'Pesos GPS'!C$15+L54*'Pesos GPS'!C$16+'Pesos GPS'!C$17)</f>
        <v>0</v>
      </c>
      <c r="O54" s="5">
        <f>MAX(0,I54*'Pesos GPS'!D$13+J54*'Pesos GPS'!D$14+K54*'Pesos GPS'!D$15+L54*'Pesos GPS'!D$16+'Pesos GPS'!D$17)</f>
        <v>4.326375166</v>
      </c>
      <c r="P54" s="5">
        <f>MAX(0,I54*'Pesos GPS'!E$13+J54*'Pesos GPS'!E$14+K54*'Pesos GPS'!E$15+L54*'Pesos GPS'!E$16+'Pesos GPS'!E$17)</f>
        <v>3.434167973</v>
      </c>
      <c r="Q54" s="5">
        <f>MAX(0,I54*'Pesos GPS'!F$13+J54*'Pesos GPS'!F$14+K54*'Pesos GPS'!F$15+L54*'Pesos GPS'!F$16+'Pesos GPS'!F$17)</f>
        <v>0</v>
      </c>
      <c r="R54" s="5">
        <f>MAX(0,I54*'Pesos GPS'!G$13+J54*'Pesos GPS'!G$14+K54*'Pesos GPS'!G$15+L54*'Pesos GPS'!G$16+'Pesos GPS'!G$17)</f>
        <v>1.076284117</v>
      </c>
      <c r="S54" s="5">
        <f>MAX(0,I54*'Pesos GPS'!H$13+J54*'Pesos GPS'!H$14+K54*'Pesos GPS'!H$15+L54*'Pesos GPS'!H$16+'Pesos GPS'!H$17)</f>
        <v>0.005038986771</v>
      </c>
      <c r="T54" s="5">
        <f>MAX(0,I54*'Pesos GPS'!I$13+J54*'Pesos GPS'!I$14+K54*'Pesos GPS'!I$15+L54*'Pesos GPS'!I$16+'Pesos GPS'!I$17)</f>
        <v>0</v>
      </c>
      <c r="U54" s="5">
        <f>M54*'Pesos GPS'!$B$22+N54*'Pesos GPS'!$B$23+O54*'Pesos GPS'!$B$24+P54*'Pesos GPS'!$B$25+Q54*'Pesos GPS'!$B$26+R54*'Pesos GPS'!$B$27+S54*'Pesos GPS'!$B$28+T54*'Pesos GPS'!$B$29+'Pesos GPS'!$B$30</f>
        <v>-4.178220692</v>
      </c>
      <c r="V54" s="5">
        <f t="shared" si="1"/>
        <v>0.01509441922</v>
      </c>
      <c r="W54" s="3">
        <f t="shared" si="2"/>
        <v>0</v>
      </c>
      <c r="X54" s="3">
        <f t="shared" si="3"/>
        <v>1</v>
      </c>
      <c r="Y54" s="9">
        <f t="shared" si="4"/>
        <v>0</v>
      </c>
      <c r="Z54" s="9">
        <v>0.015094419221321483</v>
      </c>
      <c r="AA54" s="3" t="str">
        <f t="shared" si="5"/>
        <v>OK</v>
      </c>
    </row>
    <row r="55" ht="15.75" customHeight="1">
      <c r="A55" s="3">
        <v>54.0</v>
      </c>
      <c r="B55" s="3" t="s">
        <v>15</v>
      </c>
      <c r="C55" s="7">
        <v>40.707046</v>
      </c>
      <c r="D55" s="7">
        <v>-73.989902</v>
      </c>
      <c r="E55" s="3">
        <v>0.0</v>
      </c>
      <c r="F55" s="3" t="s">
        <v>55</v>
      </c>
      <c r="G55" s="5">
        <f>(C55-'Pesos GPS'!$L$4)/'Pesos GPS'!$L$5</f>
        <v>0.9980424949</v>
      </c>
      <c r="H55" s="5">
        <f>(D55-'Pesos GPS'!$L$6)/'Pesos GPS'!$L$7</f>
        <v>-0.9998418787</v>
      </c>
      <c r="I55" s="5">
        <f>MAX(0,G55*'Pesos GPS'!B$6+H55*'Pesos GPS'!B$7+'Pesos GPS'!B$8)</f>
        <v>2.667269286</v>
      </c>
      <c r="J55" s="5">
        <f>MAX(0,G55*'Pesos GPS'!C$6+H55*'Pesos GPS'!C$7+'Pesos GPS'!C$8)</f>
        <v>0.3494038434</v>
      </c>
      <c r="K55" s="5">
        <f>MAX(0,G55*'Pesos GPS'!D$6+H55*'Pesos GPS'!D$7+'Pesos GPS'!D$8)</f>
        <v>0.4740621838</v>
      </c>
      <c r="L55" s="5">
        <f>MAX(0,G55*'Pesos GPS'!E$6+H55*'Pesos GPS'!E$7+'Pesos GPS'!E$8)</f>
        <v>1.786424078</v>
      </c>
      <c r="M55" s="5">
        <f>MAX(0,I55*'Pesos GPS'!B$13+J55*'Pesos GPS'!B$14+K55*'Pesos GPS'!B$15+L55*'Pesos GPS'!B$16+'Pesos GPS'!B$17)</f>
        <v>0</v>
      </c>
      <c r="N55" s="5">
        <f>MAX(0,I55*'Pesos GPS'!C$13+J55*'Pesos GPS'!C$14+K55*'Pesos GPS'!C$15+L55*'Pesos GPS'!C$16+'Pesos GPS'!C$17)</f>
        <v>0</v>
      </c>
      <c r="O55" s="5">
        <f>MAX(0,I55*'Pesos GPS'!D$13+J55*'Pesos GPS'!D$14+K55*'Pesos GPS'!D$15+L55*'Pesos GPS'!D$16+'Pesos GPS'!D$17)</f>
        <v>4.332819093</v>
      </c>
      <c r="P55" s="5">
        <f>MAX(0,I55*'Pesos GPS'!E$13+J55*'Pesos GPS'!E$14+K55*'Pesos GPS'!E$15+L55*'Pesos GPS'!E$16+'Pesos GPS'!E$17)</f>
        <v>3.446013702</v>
      </c>
      <c r="Q55" s="5">
        <f>MAX(0,I55*'Pesos GPS'!F$13+J55*'Pesos GPS'!F$14+K55*'Pesos GPS'!F$15+L55*'Pesos GPS'!F$16+'Pesos GPS'!F$17)</f>
        <v>0</v>
      </c>
      <c r="R55" s="5">
        <f>MAX(0,I55*'Pesos GPS'!G$13+J55*'Pesos GPS'!G$14+K55*'Pesos GPS'!G$15+L55*'Pesos GPS'!G$16+'Pesos GPS'!G$17)</f>
        <v>1.079450844</v>
      </c>
      <c r="S55" s="5">
        <f>MAX(0,I55*'Pesos GPS'!H$13+J55*'Pesos GPS'!H$14+K55*'Pesos GPS'!H$15+L55*'Pesos GPS'!H$16+'Pesos GPS'!H$17)</f>
        <v>0.0004765018971</v>
      </c>
      <c r="T55" s="5">
        <f>MAX(0,I55*'Pesos GPS'!I$13+J55*'Pesos GPS'!I$14+K55*'Pesos GPS'!I$15+L55*'Pesos GPS'!I$16+'Pesos GPS'!I$17)</f>
        <v>0</v>
      </c>
      <c r="U55" s="5">
        <f>M55*'Pesos GPS'!$B$22+N55*'Pesos GPS'!$B$23+O55*'Pesos GPS'!$B$24+P55*'Pesos GPS'!$B$25+Q55*'Pesos GPS'!$B$26+R55*'Pesos GPS'!$B$27+S55*'Pesos GPS'!$B$28+T55*'Pesos GPS'!$B$29+'Pesos GPS'!$B$30</f>
        <v>-4.193194431</v>
      </c>
      <c r="V55" s="5">
        <f t="shared" si="1"/>
        <v>0.01487341973</v>
      </c>
      <c r="W55" s="3">
        <f t="shared" si="2"/>
        <v>0</v>
      </c>
      <c r="X55" s="3">
        <f t="shared" si="3"/>
        <v>1</v>
      </c>
      <c r="Y55" s="9">
        <f t="shared" si="4"/>
        <v>0</v>
      </c>
      <c r="Z55" s="9">
        <v>0.014873419733278397</v>
      </c>
      <c r="AA55" s="3" t="str">
        <f t="shared" si="5"/>
        <v>OK</v>
      </c>
    </row>
    <row r="56" ht="15.75" customHeight="1">
      <c r="A56" s="3">
        <v>55.0</v>
      </c>
      <c r="B56" s="3" t="s">
        <v>15</v>
      </c>
      <c r="C56" s="7">
        <v>40.704333</v>
      </c>
      <c r="D56" s="7">
        <v>-74.057254</v>
      </c>
      <c r="E56" s="3">
        <v>0.0</v>
      </c>
      <c r="F56" s="3" t="s">
        <v>55</v>
      </c>
      <c r="G56" s="5">
        <f>(C56-'Pesos GPS'!$L$4)/'Pesos GPS'!$L$5</f>
        <v>0.9969648829</v>
      </c>
      <c r="H56" s="5">
        <f>(D56-'Pesos GPS'!$L$6)/'Pesos GPS'!$L$7</f>
        <v>-1.000472352</v>
      </c>
      <c r="I56" s="5">
        <f>MAX(0,G56*'Pesos GPS'!B$6+H56*'Pesos GPS'!B$7+'Pesos GPS'!B$8)</f>
        <v>2.668109495</v>
      </c>
      <c r="J56" s="5">
        <f>MAX(0,G56*'Pesos GPS'!C$6+H56*'Pesos GPS'!C$7+'Pesos GPS'!C$8)</f>
        <v>0.3513327988</v>
      </c>
      <c r="K56" s="5">
        <f>MAX(0,G56*'Pesos GPS'!D$6+H56*'Pesos GPS'!D$7+'Pesos GPS'!D$8)</f>
        <v>0.4731948238</v>
      </c>
      <c r="L56" s="5">
        <f>MAX(0,G56*'Pesos GPS'!E$6+H56*'Pesos GPS'!E$7+'Pesos GPS'!E$8)</f>
        <v>1.785530639</v>
      </c>
      <c r="M56" s="5">
        <f>MAX(0,I56*'Pesos GPS'!B$13+J56*'Pesos GPS'!B$14+K56*'Pesos GPS'!B$15+L56*'Pesos GPS'!B$16+'Pesos GPS'!B$17)</f>
        <v>0</v>
      </c>
      <c r="N56" s="5">
        <f>MAX(0,I56*'Pesos GPS'!C$13+J56*'Pesos GPS'!C$14+K56*'Pesos GPS'!C$15+L56*'Pesos GPS'!C$16+'Pesos GPS'!C$17)</f>
        <v>0</v>
      </c>
      <c r="O56" s="5">
        <f>MAX(0,I56*'Pesos GPS'!D$13+J56*'Pesos GPS'!D$14+K56*'Pesos GPS'!D$15+L56*'Pesos GPS'!D$16+'Pesos GPS'!D$17)</f>
        <v>4.333950335</v>
      </c>
      <c r="P56" s="5">
        <f>MAX(0,I56*'Pesos GPS'!E$13+J56*'Pesos GPS'!E$14+K56*'Pesos GPS'!E$15+L56*'Pesos GPS'!E$16+'Pesos GPS'!E$17)</f>
        <v>3.445507546</v>
      </c>
      <c r="Q56" s="5">
        <f>MAX(0,I56*'Pesos GPS'!F$13+J56*'Pesos GPS'!F$14+K56*'Pesos GPS'!F$15+L56*'Pesos GPS'!F$16+'Pesos GPS'!F$17)</f>
        <v>0</v>
      </c>
      <c r="R56" s="5">
        <f>MAX(0,I56*'Pesos GPS'!G$13+J56*'Pesos GPS'!G$14+K56*'Pesos GPS'!G$15+L56*'Pesos GPS'!G$16+'Pesos GPS'!G$17)</f>
        <v>1.079461555</v>
      </c>
      <c r="S56" s="5">
        <f>MAX(0,I56*'Pesos GPS'!H$13+J56*'Pesos GPS'!H$14+K56*'Pesos GPS'!H$15+L56*'Pesos GPS'!H$16+'Pesos GPS'!H$17)</f>
        <v>0.001563872498</v>
      </c>
      <c r="T56" s="5">
        <f>MAX(0,I56*'Pesos GPS'!I$13+J56*'Pesos GPS'!I$14+K56*'Pesos GPS'!I$15+L56*'Pesos GPS'!I$16+'Pesos GPS'!I$17)</f>
        <v>0</v>
      </c>
      <c r="U56" s="5">
        <f>M56*'Pesos GPS'!$B$22+N56*'Pesos GPS'!$B$23+O56*'Pesos GPS'!$B$24+P56*'Pesos GPS'!$B$25+Q56*'Pesos GPS'!$B$26+R56*'Pesos GPS'!$B$27+S56*'Pesos GPS'!$B$28+T56*'Pesos GPS'!$B$29+'Pesos GPS'!$B$30</f>
        <v>-4.193788605</v>
      </c>
      <c r="V56" s="5">
        <f t="shared" si="1"/>
        <v>0.01486471629</v>
      </c>
      <c r="W56" s="3">
        <f t="shared" si="2"/>
        <v>0</v>
      </c>
      <c r="X56" s="3">
        <f t="shared" si="3"/>
        <v>1</v>
      </c>
      <c r="Y56" s="9">
        <f t="shared" si="4"/>
        <v>0</v>
      </c>
      <c r="Z56" s="9">
        <v>0.014864716292036647</v>
      </c>
      <c r="AA56" s="3" t="str">
        <f t="shared" si="5"/>
        <v>OK</v>
      </c>
    </row>
    <row r="57" ht="15.75" customHeight="1">
      <c r="A57" s="3">
        <v>56.0</v>
      </c>
      <c r="B57" s="3" t="s">
        <v>15</v>
      </c>
      <c r="C57" s="7">
        <v>40.7013</v>
      </c>
      <c r="D57" s="7">
        <v>-74.007218</v>
      </c>
      <c r="E57" s="3">
        <v>0.0</v>
      </c>
      <c r="F57" s="3" t="s">
        <v>55</v>
      </c>
      <c r="G57" s="5">
        <f>(C57-'Pesos GPS'!$L$4)/'Pesos GPS'!$L$5</f>
        <v>0.9957601659</v>
      </c>
      <c r="H57" s="5">
        <f>(D57-'Pesos GPS'!$L$6)/'Pesos GPS'!$L$7</f>
        <v>-1.000003971</v>
      </c>
      <c r="I57" s="5">
        <f>MAX(0,G57*'Pesos GPS'!B$6+H57*'Pesos GPS'!B$7+'Pesos GPS'!B$8)</f>
        <v>2.666598411</v>
      </c>
      <c r="J57" s="5">
        <f>MAX(0,G57*'Pesos GPS'!C$6+H57*'Pesos GPS'!C$7+'Pesos GPS'!C$8)</f>
        <v>0.3519281216</v>
      </c>
      <c r="K57" s="5">
        <f>MAX(0,G57*'Pesos GPS'!D$6+H57*'Pesos GPS'!D$7+'Pesos GPS'!D$8)</f>
        <v>0.4724327124</v>
      </c>
      <c r="L57" s="5">
        <f>MAX(0,G57*'Pesos GPS'!E$6+H57*'Pesos GPS'!E$7+'Pesos GPS'!E$8)</f>
        <v>1.783952784</v>
      </c>
      <c r="M57" s="5">
        <f>MAX(0,I57*'Pesos GPS'!B$13+J57*'Pesos GPS'!B$14+K57*'Pesos GPS'!B$15+L57*'Pesos GPS'!B$16+'Pesos GPS'!B$17)</f>
        <v>0</v>
      </c>
      <c r="N57" s="5">
        <f>MAX(0,I57*'Pesos GPS'!C$13+J57*'Pesos GPS'!C$14+K57*'Pesos GPS'!C$15+L57*'Pesos GPS'!C$16+'Pesos GPS'!C$17)</f>
        <v>0</v>
      </c>
      <c r="O57" s="5">
        <f>MAX(0,I57*'Pesos GPS'!D$13+J57*'Pesos GPS'!D$14+K57*'Pesos GPS'!D$15+L57*'Pesos GPS'!D$16+'Pesos GPS'!D$17)</f>
        <v>4.331417722</v>
      </c>
      <c r="P57" s="5">
        <f>MAX(0,I57*'Pesos GPS'!E$13+J57*'Pesos GPS'!E$14+K57*'Pesos GPS'!E$15+L57*'Pesos GPS'!E$16+'Pesos GPS'!E$17)</f>
        <v>3.442907423</v>
      </c>
      <c r="Q57" s="5">
        <f>MAX(0,I57*'Pesos GPS'!F$13+J57*'Pesos GPS'!F$14+K57*'Pesos GPS'!F$15+L57*'Pesos GPS'!F$16+'Pesos GPS'!F$17)</f>
        <v>0</v>
      </c>
      <c r="R57" s="5">
        <f>MAX(0,I57*'Pesos GPS'!G$13+J57*'Pesos GPS'!G$14+K57*'Pesos GPS'!G$15+L57*'Pesos GPS'!G$16+'Pesos GPS'!G$17)</f>
        <v>1.078650381</v>
      </c>
      <c r="S57" s="5">
        <f>MAX(0,I57*'Pesos GPS'!H$13+J57*'Pesos GPS'!H$14+K57*'Pesos GPS'!H$15+L57*'Pesos GPS'!H$16+'Pesos GPS'!H$17)</f>
        <v>0.001855893</v>
      </c>
      <c r="T57" s="5">
        <f>MAX(0,I57*'Pesos GPS'!I$13+J57*'Pesos GPS'!I$14+K57*'Pesos GPS'!I$15+L57*'Pesos GPS'!I$16+'Pesos GPS'!I$17)</f>
        <v>0</v>
      </c>
      <c r="U57" s="5">
        <f>M57*'Pesos GPS'!$B$22+N57*'Pesos GPS'!$B$23+O57*'Pesos GPS'!$B$24+P57*'Pesos GPS'!$B$25+Q57*'Pesos GPS'!$B$26+R57*'Pesos GPS'!$B$27+S57*'Pesos GPS'!$B$28+T57*'Pesos GPS'!$B$29+'Pesos GPS'!$B$30</f>
        <v>-4.189520917</v>
      </c>
      <c r="V57" s="5">
        <f t="shared" si="1"/>
        <v>0.01492734083</v>
      </c>
      <c r="W57" s="3">
        <f t="shared" si="2"/>
        <v>0</v>
      </c>
      <c r="X57" s="3">
        <f t="shared" si="3"/>
        <v>1</v>
      </c>
      <c r="Y57" s="9">
        <f t="shared" si="4"/>
        <v>0</v>
      </c>
      <c r="Z57" s="9">
        <v>0.014927340834099275</v>
      </c>
      <c r="AA57" s="3" t="str">
        <f t="shared" si="5"/>
        <v>OK</v>
      </c>
    </row>
    <row r="58" ht="15.75" customHeight="1">
      <c r="A58" s="3">
        <v>57.0</v>
      </c>
      <c r="B58" s="3" t="s">
        <v>15</v>
      </c>
      <c r="C58" s="7">
        <v>40.707847</v>
      </c>
      <c r="D58" s="7">
        <v>-74.027081</v>
      </c>
      <c r="E58" s="3">
        <v>0.0</v>
      </c>
      <c r="F58" s="3" t="s">
        <v>55</v>
      </c>
      <c r="G58" s="5">
        <f>(C58-'Pesos GPS'!$L$4)/'Pesos GPS'!$L$5</f>
        <v>0.9983606546</v>
      </c>
      <c r="H58" s="5">
        <f>(D58-'Pesos GPS'!$L$6)/'Pesos GPS'!$L$7</f>
        <v>-1.000189906</v>
      </c>
      <c r="I58" s="5">
        <f>MAX(0,G58*'Pesos GPS'!B$6+H58*'Pesos GPS'!B$7+'Pesos GPS'!B$8)</f>
        <v>2.668136896</v>
      </c>
      <c r="J58" s="5">
        <f>MAX(0,G58*'Pesos GPS'!C$6+H58*'Pesos GPS'!C$7+'Pesos GPS'!C$8)</f>
        <v>0.3495451296</v>
      </c>
      <c r="K58" s="5">
        <f>MAX(0,G58*'Pesos GPS'!D$6+H58*'Pesos GPS'!D$7+'Pesos GPS'!D$8)</f>
        <v>0.4742237672</v>
      </c>
      <c r="L58" s="5">
        <f>MAX(0,G58*'Pesos GPS'!E$6+H58*'Pesos GPS'!E$7+'Pesos GPS'!E$8)</f>
        <v>1.786951499</v>
      </c>
      <c r="M58" s="5">
        <f>MAX(0,I58*'Pesos GPS'!B$13+J58*'Pesos GPS'!B$14+K58*'Pesos GPS'!B$15+L58*'Pesos GPS'!B$16+'Pesos GPS'!B$17)</f>
        <v>0</v>
      </c>
      <c r="N58" s="5">
        <f>MAX(0,I58*'Pesos GPS'!C$13+J58*'Pesos GPS'!C$14+K58*'Pesos GPS'!C$15+L58*'Pesos GPS'!C$16+'Pesos GPS'!C$17)</f>
        <v>0</v>
      </c>
      <c r="O58" s="5">
        <f>MAX(0,I58*'Pesos GPS'!D$13+J58*'Pesos GPS'!D$14+K58*'Pesos GPS'!D$15+L58*'Pesos GPS'!D$16+'Pesos GPS'!D$17)</f>
        <v>4.334214022</v>
      </c>
      <c r="P58" s="5">
        <f>MAX(0,I58*'Pesos GPS'!E$13+J58*'Pesos GPS'!E$14+K58*'Pesos GPS'!E$15+L58*'Pesos GPS'!E$16+'Pesos GPS'!E$17)</f>
        <v>3.447089353</v>
      </c>
      <c r="Q58" s="5">
        <f>MAX(0,I58*'Pesos GPS'!F$13+J58*'Pesos GPS'!F$14+K58*'Pesos GPS'!F$15+L58*'Pesos GPS'!F$16+'Pesos GPS'!F$17)</f>
        <v>0</v>
      </c>
      <c r="R58" s="5">
        <f>MAX(0,I58*'Pesos GPS'!G$13+J58*'Pesos GPS'!G$14+K58*'Pesos GPS'!G$15+L58*'Pesos GPS'!G$16+'Pesos GPS'!G$17)</f>
        <v>1.079822465</v>
      </c>
      <c r="S58" s="5">
        <f>MAX(0,I58*'Pesos GPS'!H$13+J58*'Pesos GPS'!H$14+K58*'Pesos GPS'!H$15+L58*'Pesos GPS'!H$16+'Pesos GPS'!H$17)</f>
        <v>0.0005759832836</v>
      </c>
      <c r="T58" s="5">
        <f>MAX(0,I58*'Pesos GPS'!I$13+J58*'Pesos GPS'!I$14+K58*'Pesos GPS'!I$15+L58*'Pesos GPS'!I$16+'Pesos GPS'!I$17)</f>
        <v>0</v>
      </c>
      <c r="U58" s="5">
        <f>M58*'Pesos GPS'!$B$22+N58*'Pesos GPS'!$B$23+O58*'Pesos GPS'!$B$24+P58*'Pesos GPS'!$B$25+Q58*'Pesos GPS'!$B$26+R58*'Pesos GPS'!$B$27+S58*'Pesos GPS'!$B$28+T58*'Pesos GPS'!$B$29+'Pesos GPS'!$B$30</f>
        <v>-4.195264542</v>
      </c>
      <c r="V58" s="5">
        <f t="shared" si="1"/>
        <v>0.01484311849</v>
      </c>
      <c r="W58" s="3">
        <f t="shared" si="2"/>
        <v>0</v>
      </c>
      <c r="X58" s="3">
        <f t="shared" si="3"/>
        <v>1</v>
      </c>
      <c r="Y58" s="9">
        <f t="shared" si="4"/>
        <v>0</v>
      </c>
      <c r="Z58" s="9">
        <v>0.014843118494850153</v>
      </c>
      <c r="AA58" s="3" t="str">
        <f t="shared" si="5"/>
        <v>OK</v>
      </c>
    </row>
    <row r="59" ht="15.75" customHeight="1">
      <c r="A59" s="3">
        <v>58.0</v>
      </c>
      <c r="B59" s="3" t="s">
        <v>15</v>
      </c>
      <c r="C59" s="7">
        <v>40.739709</v>
      </c>
      <c r="D59" s="7">
        <v>-74.03647</v>
      </c>
      <c r="E59" s="3">
        <v>0.0</v>
      </c>
      <c r="F59" s="3" t="s">
        <v>55</v>
      </c>
      <c r="G59" s="5">
        <f>(C59-'Pesos GPS'!$L$4)/'Pesos GPS'!$L$5</f>
        <v>1.01101634</v>
      </c>
      <c r="H59" s="5">
        <f>(D59-'Pesos GPS'!$L$6)/'Pesos GPS'!$L$7</f>
        <v>-1.000277796</v>
      </c>
      <c r="I59" s="5">
        <f>MAX(0,G59*'Pesos GPS'!B$6+H59*'Pesos GPS'!B$7+'Pesos GPS'!B$8)</f>
        <v>2.673917798</v>
      </c>
      <c r="J59" s="5">
        <f>MAX(0,G59*'Pesos GPS'!C$6+H59*'Pesos GPS'!C$7+'Pesos GPS'!C$8)</f>
        <v>0.3368607873</v>
      </c>
      <c r="K59" s="5">
        <f>MAX(0,G59*'Pesos GPS'!D$6+H59*'Pesos GPS'!D$7+'Pesos GPS'!D$8)</f>
        <v>0.4830847499</v>
      </c>
      <c r="L59" s="5">
        <f>MAX(0,G59*'Pesos GPS'!E$6+H59*'Pesos GPS'!E$7+'Pesos GPS'!E$8)</f>
        <v>1.801141995</v>
      </c>
      <c r="M59" s="5">
        <f>MAX(0,I59*'Pesos GPS'!B$13+J59*'Pesos GPS'!B$14+K59*'Pesos GPS'!B$15+L59*'Pesos GPS'!B$16+'Pesos GPS'!B$17)</f>
        <v>0</v>
      </c>
      <c r="N59" s="5">
        <f>MAX(0,I59*'Pesos GPS'!C$13+J59*'Pesos GPS'!C$14+K59*'Pesos GPS'!C$15+L59*'Pesos GPS'!C$16+'Pesos GPS'!C$17)</f>
        <v>0</v>
      </c>
      <c r="O59" s="5">
        <f>MAX(0,I59*'Pesos GPS'!D$13+J59*'Pesos GPS'!D$14+K59*'Pesos GPS'!D$15+L59*'Pesos GPS'!D$16+'Pesos GPS'!D$17)</f>
        <v>4.345178343</v>
      </c>
      <c r="P59" s="5">
        <f>MAX(0,I59*'Pesos GPS'!E$13+J59*'Pesos GPS'!E$14+K59*'Pesos GPS'!E$15+L59*'Pesos GPS'!E$16+'Pesos GPS'!E$17)</f>
        <v>3.466024767</v>
      </c>
      <c r="Q59" s="5">
        <f>MAX(0,I59*'Pesos GPS'!F$13+J59*'Pesos GPS'!F$14+K59*'Pesos GPS'!F$15+L59*'Pesos GPS'!F$16+'Pesos GPS'!F$17)</f>
        <v>0</v>
      </c>
      <c r="R59" s="5">
        <f>MAX(0,I59*'Pesos GPS'!G$13+J59*'Pesos GPS'!G$14+K59*'Pesos GPS'!G$15+L59*'Pesos GPS'!G$16+'Pesos GPS'!G$17)</f>
        <v>1.084953384</v>
      </c>
      <c r="S59" s="5">
        <f>MAX(0,I59*'Pesos GPS'!H$13+J59*'Pesos GPS'!H$14+K59*'Pesos GPS'!H$15+L59*'Pesos GPS'!H$16+'Pesos GPS'!H$17)</f>
        <v>0</v>
      </c>
      <c r="T59" s="5">
        <f>MAX(0,I59*'Pesos GPS'!I$13+J59*'Pesos GPS'!I$14+K59*'Pesos GPS'!I$15+L59*'Pesos GPS'!I$16+'Pesos GPS'!I$17)</f>
        <v>0</v>
      </c>
      <c r="U59" s="5">
        <f>M59*'Pesos GPS'!$B$22+N59*'Pesos GPS'!$B$23+O59*'Pesos GPS'!$B$24+P59*'Pesos GPS'!$B$25+Q59*'Pesos GPS'!$B$26+R59*'Pesos GPS'!$B$27+S59*'Pesos GPS'!$B$28+T59*'Pesos GPS'!$B$29+'Pesos GPS'!$B$30</f>
        <v>-4.217833118</v>
      </c>
      <c r="V59" s="5">
        <f t="shared" si="1"/>
        <v>0.01451669073</v>
      </c>
      <c r="W59" s="3">
        <f t="shared" si="2"/>
        <v>0</v>
      </c>
      <c r="X59" s="3">
        <f t="shared" si="3"/>
        <v>1</v>
      </c>
      <c r="Y59" s="9">
        <f t="shared" si="4"/>
        <v>0</v>
      </c>
      <c r="Z59" s="9">
        <v>0.014516690726835648</v>
      </c>
      <c r="AA59" s="3" t="str">
        <f t="shared" si="5"/>
        <v>OK</v>
      </c>
    </row>
    <row r="60" ht="15.75" customHeight="1">
      <c r="A60" s="3">
        <v>59.0</v>
      </c>
      <c r="B60" s="3" t="s">
        <v>15</v>
      </c>
      <c r="C60" s="7">
        <v>40.697215</v>
      </c>
      <c r="D60" s="7">
        <v>-74.027954</v>
      </c>
      <c r="E60" s="3">
        <v>0.0</v>
      </c>
      <c r="F60" s="3" t="s">
        <v>55</v>
      </c>
      <c r="G60" s="5">
        <f>(C60-'Pesos GPS'!$L$4)/'Pesos GPS'!$L$5</f>
        <v>0.9941375911</v>
      </c>
      <c r="H60" s="5">
        <f>(D60-'Pesos GPS'!$L$6)/'Pesos GPS'!$L$7</f>
        <v>-1.000198078</v>
      </c>
      <c r="I60" s="5">
        <f>MAX(0,G60*'Pesos GPS'!B$6+H60*'Pesos GPS'!B$7+'Pesos GPS'!B$8)</f>
        <v>2.666286195</v>
      </c>
      <c r="J60" s="5">
        <f>MAX(0,G60*'Pesos GPS'!C$6+H60*'Pesos GPS'!C$7+'Pesos GPS'!C$8)</f>
        <v>0.3538276548</v>
      </c>
      <c r="K60" s="5">
        <f>MAX(0,G60*'Pesos GPS'!D$6+H60*'Pesos GPS'!D$7+'Pesos GPS'!D$8)</f>
        <v>0.4712603204</v>
      </c>
      <c r="L60" s="5">
        <f>MAX(0,G60*'Pesos GPS'!E$6+H60*'Pesos GPS'!E$7+'Pesos GPS'!E$8)</f>
        <v>1.782234794</v>
      </c>
      <c r="M60" s="5">
        <f>MAX(0,I60*'Pesos GPS'!B$13+J60*'Pesos GPS'!B$14+K60*'Pesos GPS'!B$15+L60*'Pesos GPS'!B$16+'Pesos GPS'!B$17)</f>
        <v>0</v>
      </c>
      <c r="N60" s="5">
        <f>MAX(0,I60*'Pesos GPS'!C$13+J60*'Pesos GPS'!C$14+K60*'Pesos GPS'!C$15+L60*'Pesos GPS'!C$16+'Pesos GPS'!C$17)</f>
        <v>0</v>
      </c>
      <c r="O60" s="5">
        <f>MAX(0,I60*'Pesos GPS'!D$13+J60*'Pesos GPS'!D$14+K60*'Pesos GPS'!D$15+L60*'Pesos GPS'!D$16+'Pesos GPS'!D$17)</f>
        <v>4.330676721</v>
      </c>
      <c r="P60" s="5">
        <f>MAX(0,I60*'Pesos GPS'!E$13+J60*'Pesos GPS'!E$14+K60*'Pesos GPS'!E$15+L60*'Pesos GPS'!E$16+'Pesos GPS'!E$17)</f>
        <v>3.440835834</v>
      </c>
      <c r="Q60" s="5">
        <f>MAX(0,I60*'Pesos GPS'!F$13+J60*'Pesos GPS'!F$14+K60*'Pesos GPS'!F$15+L60*'Pesos GPS'!F$16+'Pesos GPS'!F$17)</f>
        <v>0</v>
      </c>
      <c r="R60" s="5">
        <f>MAX(0,I60*'Pesos GPS'!G$13+J60*'Pesos GPS'!G$14+K60*'Pesos GPS'!G$15+L60*'Pesos GPS'!G$16+'Pesos GPS'!G$17)</f>
        <v>1.078136644</v>
      </c>
      <c r="S60" s="5">
        <f>MAX(0,I60*'Pesos GPS'!H$13+J60*'Pesos GPS'!H$14+K60*'Pesos GPS'!H$15+L60*'Pesos GPS'!H$16+'Pesos GPS'!H$17)</f>
        <v>0.002898632692</v>
      </c>
      <c r="T60" s="5">
        <f>MAX(0,I60*'Pesos GPS'!I$13+J60*'Pesos GPS'!I$14+K60*'Pesos GPS'!I$15+L60*'Pesos GPS'!I$16+'Pesos GPS'!I$17)</f>
        <v>0</v>
      </c>
      <c r="U60" s="5">
        <f>M60*'Pesos GPS'!$B$22+N60*'Pesos GPS'!$B$23+O60*'Pesos GPS'!$B$24+P60*'Pesos GPS'!$B$25+Q60*'Pesos GPS'!$B$26+R60*'Pesos GPS'!$B$27+S60*'Pesos GPS'!$B$28+T60*'Pesos GPS'!$B$29+'Pesos GPS'!$B$30</f>
        <v>-4.187240862</v>
      </c>
      <c r="V60" s="5">
        <f t="shared" si="1"/>
        <v>0.01496090505</v>
      </c>
      <c r="W60" s="3">
        <f t="shared" si="2"/>
        <v>0</v>
      </c>
      <c r="X60" s="3">
        <f t="shared" si="3"/>
        <v>1</v>
      </c>
      <c r="Y60" s="9">
        <f t="shared" si="4"/>
        <v>0</v>
      </c>
      <c r="Z60" s="9">
        <v>0.014960905052151462</v>
      </c>
      <c r="AA60" s="3" t="str">
        <f t="shared" si="5"/>
        <v>OK</v>
      </c>
    </row>
    <row r="61" ht="15.75" customHeight="1">
      <c r="A61" s="3">
        <v>60.0</v>
      </c>
      <c r="B61" s="3" t="s">
        <v>15</v>
      </c>
      <c r="C61" s="7">
        <v>40.730229</v>
      </c>
      <c r="D61" s="7">
        <v>-74.014353</v>
      </c>
      <c r="E61" s="3">
        <v>0.0</v>
      </c>
      <c r="F61" s="3" t="s">
        <v>55</v>
      </c>
      <c r="G61" s="5">
        <f>(C61-'Pesos GPS'!$L$4)/'Pesos GPS'!$L$5</f>
        <v>1.007250855</v>
      </c>
      <c r="H61" s="5">
        <f>(D61-'Pesos GPS'!$L$6)/'Pesos GPS'!$L$7</f>
        <v>-1.000070761</v>
      </c>
      <c r="I61" s="5">
        <f>MAX(0,G61*'Pesos GPS'!B$6+H61*'Pesos GPS'!B$7+'Pesos GPS'!B$8)</f>
        <v>2.671819991</v>
      </c>
      <c r="J61" s="5">
        <f>MAX(0,G61*'Pesos GPS'!C$6+H61*'Pesos GPS'!C$7+'Pesos GPS'!C$8)</f>
        <v>0.3403941036</v>
      </c>
      <c r="K61" s="5">
        <f>MAX(0,G61*'Pesos GPS'!D$6+H61*'Pesos GPS'!D$7+'Pesos GPS'!D$8)</f>
        <v>0.4804803144</v>
      </c>
      <c r="L61" s="5">
        <f>MAX(0,G61*'Pesos GPS'!E$6+H61*'Pesos GPS'!E$7+'Pesos GPS'!E$8)</f>
        <v>1.796830578</v>
      </c>
      <c r="M61" s="5">
        <f>MAX(0,I61*'Pesos GPS'!B$13+J61*'Pesos GPS'!B$14+K61*'Pesos GPS'!B$15+L61*'Pesos GPS'!B$16+'Pesos GPS'!B$17)</f>
        <v>0</v>
      </c>
      <c r="N61" s="5">
        <f>MAX(0,I61*'Pesos GPS'!C$13+J61*'Pesos GPS'!C$14+K61*'Pesos GPS'!C$15+L61*'Pesos GPS'!C$16+'Pesos GPS'!C$17)</f>
        <v>0</v>
      </c>
      <c r="O61" s="5">
        <f>MAX(0,I61*'Pesos GPS'!D$13+J61*'Pesos GPS'!D$14+K61*'Pesos GPS'!D$15+L61*'Pesos GPS'!D$16+'Pesos GPS'!D$17)</f>
        <v>4.341330636</v>
      </c>
      <c r="P61" s="5">
        <f>MAX(0,I61*'Pesos GPS'!E$13+J61*'Pesos GPS'!E$14+K61*'Pesos GPS'!E$15+L61*'Pesos GPS'!E$16+'Pesos GPS'!E$17)</f>
        <v>3.460077216</v>
      </c>
      <c r="Q61" s="5">
        <f>MAX(0,I61*'Pesos GPS'!F$13+J61*'Pesos GPS'!F$14+K61*'Pesos GPS'!F$15+L61*'Pesos GPS'!F$16+'Pesos GPS'!F$17)</f>
        <v>0</v>
      </c>
      <c r="R61" s="5">
        <f>MAX(0,I61*'Pesos GPS'!G$13+J61*'Pesos GPS'!G$14+K61*'Pesos GPS'!G$15+L61*'Pesos GPS'!G$16+'Pesos GPS'!G$17)</f>
        <v>1.083299854</v>
      </c>
      <c r="S61" s="5">
        <f>MAX(0,I61*'Pesos GPS'!H$13+J61*'Pesos GPS'!H$14+K61*'Pesos GPS'!H$15+L61*'Pesos GPS'!H$16+'Pesos GPS'!H$17)</f>
        <v>0</v>
      </c>
      <c r="T61" s="5">
        <f>MAX(0,I61*'Pesos GPS'!I$13+J61*'Pesos GPS'!I$14+K61*'Pesos GPS'!I$15+L61*'Pesos GPS'!I$16+'Pesos GPS'!I$17)</f>
        <v>0</v>
      </c>
      <c r="U61" s="5">
        <f>M61*'Pesos GPS'!$B$22+N61*'Pesos GPS'!$B$23+O61*'Pesos GPS'!$B$24+P61*'Pesos GPS'!$B$25+Q61*'Pesos GPS'!$B$26+R61*'Pesos GPS'!$B$27+S61*'Pesos GPS'!$B$28+T61*'Pesos GPS'!$B$29+'Pesos GPS'!$B$30</f>
        <v>-4.210366793</v>
      </c>
      <c r="V61" s="5">
        <f t="shared" si="1"/>
        <v>0.01462389173</v>
      </c>
      <c r="W61" s="3">
        <f t="shared" si="2"/>
        <v>0</v>
      </c>
      <c r="X61" s="3">
        <f t="shared" si="3"/>
        <v>1</v>
      </c>
      <c r="Y61" s="9">
        <f t="shared" si="4"/>
        <v>0</v>
      </c>
      <c r="Z61" s="9">
        <v>0.014623891733047921</v>
      </c>
      <c r="AA61" s="3" t="str">
        <f t="shared" si="5"/>
        <v>OK</v>
      </c>
    </row>
    <row r="62" ht="15.75" customHeight="1">
      <c r="A62" s="3">
        <v>61.0</v>
      </c>
      <c r="B62" s="3" t="s">
        <v>15</v>
      </c>
      <c r="C62" s="7">
        <v>40.682508</v>
      </c>
      <c r="D62" s="7">
        <v>-73.983102</v>
      </c>
      <c r="E62" s="3">
        <v>0.0</v>
      </c>
      <c r="F62" s="3" t="s">
        <v>55</v>
      </c>
      <c r="G62" s="5">
        <f>(C62-'Pesos GPS'!$L$4)/'Pesos GPS'!$L$5</f>
        <v>0.988295925</v>
      </c>
      <c r="H62" s="5">
        <f>(D62-'Pesos GPS'!$L$6)/'Pesos GPS'!$L$7</f>
        <v>-0.9997782248</v>
      </c>
      <c r="I62" s="5">
        <f>MAX(0,G62*'Pesos GPS'!B$6+H62*'Pesos GPS'!B$7+'Pesos GPS'!B$8)</f>
        <v>2.662825642</v>
      </c>
      <c r="J62" s="5">
        <f>MAX(0,G62*'Pesos GPS'!C$6+H62*'Pesos GPS'!C$7+'Pesos GPS'!C$8)</f>
        <v>0.3591778488</v>
      </c>
      <c r="K62" s="5">
        <f>MAX(0,G62*'Pesos GPS'!D$6+H62*'Pesos GPS'!D$7+'Pesos GPS'!D$8)</f>
        <v>0.467237329</v>
      </c>
      <c r="L62" s="5">
        <f>MAX(0,G62*'Pesos GPS'!E$6+H62*'Pesos GPS'!E$7+'Pesos GPS'!E$8)</f>
        <v>1.775497489</v>
      </c>
      <c r="M62" s="5">
        <f>MAX(0,I62*'Pesos GPS'!B$13+J62*'Pesos GPS'!B$14+K62*'Pesos GPS'!B$15+L62*'Pesos GPS'!B$16+'Pesos GPS'!B$17)</f>
        <v>0</v>
      </c>
      <c r="N62" s="5">
        <f>MAX(0,I62*'Pesos GPS'!C$13+J62*'Pesos GPS'!C$14+K62*'Pesos GPS'!C$15+L62*'Pesos GPS'!C$16+'Pesos GPS'!C$17)</f>
        <v>0</v>
      </c>
      <c r="O62" s="5">
        <f>MAX(0,I62*'Pesos GPS'!D$13+J62*'Pesos GPS'!D$14+K62*'Pesos GPS'!D$15+L62*'Pesos GPS'!D$16+'Pesos GPS'!D$17)</f>
        <v>4.324388151</v>
      </c>
      <c r="P62" s="5">
        <f>MAX(0,I62*'Pesos GPS'!E$13+J62*'Pesos GPS'!E$14+K62*'Pesos GPS'!E$15+L62*'Pesos GPS'!E$16+'Pesos GPS'!E$17)</f>
        <v>3.431437893</v>
      </c>
      <c r="Q62" s="5">
        <f>MAX(0,I62*'Pesos GPS'!F$13+J62*'Pesos GPS'!F$14+K62*'Pesos GPS'!F$15+L62*'Pesos GPS'!F$16+'Pesos GPS'!F$17)</f>
        <v>0</v>
      </c>
      <c r="R62" s="5">
        <f>MAX(0,I62*'Pesos GPS'!G$13+J62*'Pesos GPS'!G$14+K62*'Pesos GPS'!G$15+L62*'Pesos GPS'!G$16+'Pesos GPS'!G$17)</f>
        <v>1.07550218</v>
      </c>
      <c r="S62" s="5">
        <f>MAX(0,I62*'Pesos GPS'!H$13+J62*'Pesos GPS'!H$14+K62*'Pesos GPS'!H$15+L62*'Pesos GPS'!H$16+'Pesos GPS'!H$17)</f>
        <v>0.005772074614</v>
      </c>
      <c r="T62" s="5">
        <f>MAX(0,I62*'Pesos GPS'!I$13+J62*'Pesos GPS'!I$14+K62*'Pesos GPS'!I$15+L62*'Pesos GPS'!I$16+'Pesos GPS'!I$17)</f>
        <v>0</v>
      </c>
      <c r="U62" s="5">
        <f>M62*'Pesos GPS'!$B$22+N62*'Pesos GPS'!$B$23+O62*'Pesos GPS'!$B$24+P62*'Pesos GPS'!$B$25+Q62*'Pesos GPS'!$B$26+R62*'Pesos GPS'!$B$27+S62*'Pesos GPS'!$B$28+T62*'Pesos GPS'!$B$29+'Pesos GPS'!$B$30</f>
        <v>-4.1743294</v>
      </c>
      <c r="V62" s="5">
        <f t="shared" si="1"/>
        <v>0.01515237871</v>
      </c>
      <c r="W62" s="3">
        <f t="shared" si="2"/>
        <v>0</v>
      </c>
      <c r="X62" s="3">
        <f t="shared" si="3"/>
        <v>1</v>
      </c>
      <c r="Y62" s="9">
        <f t="shared" si="4"/>
        <v>0</v>
      </c>
      <c r="Z62" s="9">
        <v>0.015152378707212361</v>
      </c>
      <c r="AA62" s="3" t="str">
        <f t="shared" si="5"/>
        <v>OK</v>
      </c>
    </row>
    <row r="63" ht="15.75" customHeight="1">
      <c r="A63" s="3">
        <v>62.0</v>
      </c>
      <c r="B63" s="3" t="s">
        <v>15</v>
      </c>
      <c r="C63" s="7">
        <v>40.706772</v>
      </c>
      <c r="D63" s="7">
        <v>-74.03916</v>
      </c>
      <c r="E63" s="3">
        <v>0.0</v>
      </c>
      <c r="F63" s="3" t="s">
        <v>55</v>
      </c>
      <c r="G63" s="5">
        <f>(C63-'Pesos GPS'!$L$4)/'Pesos GPS'!$L$5</f>
        <v>0.9979336613</v>
      </c>
      <c r="H63" s="5">
        <f>(D63-'Pesos GPS'!$L$6)/'Pesos GPS'!$L$7</f>
        <v>-1.000302976</v>
      </c>
      <c r="I63" s="5">
        <f>MAX(0,G63*'Pesos GPS'!B$6+H63*'Pesos GPS'!B$7+'Pesos GPS'!B$8)</f>
        <v>2.668184205</v>
      </c>
      <c r="J63" s="5">
        <f>MAX(0,G63*'Pesos GPS'!C$6+H63*'Pesos GPS'!C$7+'Pesos GPS'!C$8)</f>
        <v>0.3501274932</v>
      </c>
      <c r="K63" s="5">
        <f>MAX(0,G63*'Pesos GPS'!D$6+H63*'Pesos GPS'!D$7+'Pesos GPS'!D$8)</f>
        <v>0.4739042765</v>
      </c>
      <c r="L63" s="5">
        <f>MAX(0,G63*'Pesos GPS'!E$6+H63*'Pesos GPS'!E$7+'Pesos GPS'!E$8)</f>
        <v>1.786529991</v>
      </c>
      <c r="M63" s="5">
        <f>MAX(0,I63*'Pesos GPS'!B$13+J63*'Pesos GPS'!B$14+K63*'Pesos GPS'!B$15+L63*'Pesos GPS'!B$16+'Pesos GPS'!B$17)</f>
        <v>0</v>
      </c>
      <c r="N63" s="5">
        <f>MAX(0,I63*'Pesos GPS'!C$13+J63*'Pesos GPS'!C$14+K63*'Pesos GPS'!C$15+L63*'Pesos GPS'!C$16+'Pesos GPS'!C$17)</f>
        <v>0</v>
      </c>
      <c r="O63" s="5">
        <f>MAX(0,I63*'Pesos GPS'!D$13+J63*'Pesos GPS'!D$14+K63*'Pesos GPS'!D$15+L63*'Pesos GPS'!D$16+'Pesos GPS'!D$17)</f>
        <v>4.334219658</v>
      </c>
      <c r="P63" s="5">
        <f>MAX(0,I63*'Pesos GPS'!E$13+J63*'Pesos GPS'!E$14+K63*'Pesos GPS'!E$15+L63*'Pesos GPS'!E$16+'Pesos GPS'!E$17)</f>
        <v>3.446651682</v>
      </c>
      <c r="Q63" s="5">
        <f>MAX(0,I63*'Pesos GPS'!F$13+J63*'Pesos GPS'!F$14+K63*'Pesos GPS'!F$15+L63*'Pesos GPS'!F$16+'Pesos GPS'!F$17)</f>
        <v>0</v>
      </c>
      <c r="R63" s="5">
        <f>MAX(0,I63*'Pesos GPS'!G$13+J63*'Pesos GPS'!G$14+K63*'Pesos GPS'!G$15+L63*'Pesos GPS'!G$16+'Pesos GPS'!G$17)</f>
        <v>1.079730764</v>
      </c>
      <c r="S63" s="5">
        <f>MAX(0,I63*'Pesos GPS'!H$13+J63*'Pesos GPS'!H$14+K63*'Pesos GPS'!H$15+L63*'Pesos GPS'!H$16+'Pesos GPS'!H$17)</f>
        <v>0.0008991888946</v>
      </c>
      <c r="T63" s="5">
        <f>MAX(0,I63*'Pesos GPS'!I$13+J63*'Pesos GPS'!I$14+K63*'Pesos GPS'!I$15+L63*'Pesos GPS'!I$16+'Pesos GPS'!I$17)</f>
        <v>0</v>
      </c>
      <c r="U63" s="5">
        <f>M63*'Pesos GPS'!$B$22+N63*'Pesos GPS'!$B$23+O63*'Pesos GPS'!$B$24+P63*'Pesos GPS'!$B$25+Q63*'Pesos GPS'!$B$26+R63*'Pesos GPS'!$B$27+S63*'Pesos GPS'!$B$28+T63*'Pesos GPS'!$B$29+'Pesos GPS'!$B$30</f>
        <v>-4.194925116</v>
      </c>
      <c r="V63" s="5">
        <f t="shared" si="1"/>
        <v>0.01484808267</v>
      </c>
      <c r="W63" s="3">
        <f t="shared" si="2"/>
        <v>0</v>
      </c>
      <c r="X63" s="3">
        <f t="shared" si="3"/>
        <v>1</v>
      </c>
      <c r="Y63" s="9">
        <f t="shared" si="4"/>
        <v>0</v>
      </c>
      <c r="Z63" s="9">
        <v>0.014848082674520318</v>
      </c>
      <c r="AA63" s="3" t="str">
        <f t="shared" si="5"/>
        <v>OK</v>
      </c>
    </row>
    <row r="64" ht="15.75" customHeight="1">
      <c r="A64" s="3">
        <v>63.0</v>
      </c>
      <c r="B64" s="3" t="s">
        <v>15</v>
      </c>
      <c r="C64" s="7">
        <v>40.71573</v>
      </c>
      <c r="D64" s="7">
        <v>-74.005234</v>
      </c>
      <c r="E64" s="3">
        <v>0.0</v>
      </c>
      <c r="F64" s="3" t="s">
        <v>55</v>
      </c>
      <c r="G64" s="5">
        <f>(C64-'Pesos GPS'!$L$4)/'Pesos GPS'!$L$5</f>
        <v>1.001491807</v>
      </c>
      <c r="H64" s="5">
        <f>(D64-'Pesos GPS'!$L$6)/'Pesos GPS'!$L$7</f>
        <v>-0.9999853995</v>
      </c>
      <c r="I64" s="5">
        <f>MAX(0,G64*'Pesos GPS'!B$6+H64*'Pesos GPS'!B$7+'Pesos GPS'!B$8)</f>
        <v>2.669094602</v>
      </c>
      <c r="J64" s="5">
        <f>MAX(0,G64*'Pesos GPS'!C$6+H64*'Pesos GPS'!C$7+'Pesos GPS'!C$8)</f>
        <v>0.3461058236</v>
      </c>
      <c r="K64" s="5">
        <f>MAX(0,G64*'Pesos GPS'!D$6+H64*'Pesos GPS'!D$7+'Pesos GPS'!D$8)</f>
        <v>0.4764560954</v>
      </c>
      <c r="L64" s="5">
        <f>MAX(0,G64*'Pesos GPS'!E$6+H64*'Pesos GPS'!E$7+'Pesos GPS'!E$8)</f>
        <v>1.790350715</v>
      </c>
      <c r="M64" s="5">
        <f>MAX(0,I64*'Pesos GPS'!B$13+J64*'Pesos GPS'!B$14+K64*'Pesos GPS'!B$15+L64*'Pesos GPS'!B$16+'Pesos GPS'!B$17)</f>
        <v>0</v>
      </c>
      <c r="N64" s="5">
        <f>MAX(0,I64*'Pesos GPS'!C$13+J64*'Pesos GPS'!C$14+K64*'Pesos GPS'!C$15+L64*'Pesos GPS'!C$16+'Pesos GPS'!C$17)</f>
        <v>0</v>
      </c>
      <c r="O64" s="5">
        <f>MAX(0,I64*'Pesos GPS'!D$13+J64*'Pesos GPS'!D$14+K64*'Pesos GPS'!D$15+L64*'Pesos GPS'!D$16+'Pesos GPS'!D$17)</f>
        <v>4.336194417</v>
      </c>
      <c r="P64" s="5">
        <f>MAX(0,I64*'Pesos GPS'!E$13+J64*'Pesos GPS'!E$14+K64*'Pesos GPS'!E$15+L64*'Pesos GPS'!E$16+'Pesos GPS'!E$17)</f>
        <v>3.451381875</v>
      </c>
      <c r="Q64" s="5">
        <f>MAX(0,I64*'Pesos GPS'!F$13+J64*'Pesos GPS'!F$14+K64*'Pesos GPS'!F$15+L64*'Pesos GPS'!F$16+'Pesos GPS'!F$17)</f>
        <v>0</v>
      </c>
      <c r="R64" s="5">
        <f>MAX(0,I64*'Pesos GPS'!G$13+J64*'Pesos GPS'!G$14+K64*'Pesos GPS'!G$15+L64*'Pesos GPS'!G$16+'Pesos GPS'!G$17)</f>
        <v>1.080933168</v>
      </c>
      <c r="S64" s="5">
        <f>MAX(0,I64*'Pesos GPS'!H$13+J64*'Pesos GPS'!H$14+K64*'Pesos GPS'!H$15+L64*'Pesos GPS'!H$16+'Pesos GPS'!H$17)</f>
        <v>0</v>
      </c>
      <c r="T64" s="5">
        <f>MAX(0,I64*'Pesos GPS'!I$13+J64*'Pesos GPS'!I$14+K64*'Pesos GPS'!I$15+L64*'Pesos GPS'!I$16+'Pesos GPS'!I$17)</f>
        <v>0</v>
      </c>
      <c r="U64" s="5">
        <f>M64*'Pesos GPS'!$B$22+N64*'Pesos GPS'!$B$23+O64*'Pesos GPS'!$B$24+P64*'Pesos GPS'!$B$25+Q64*'Pesos GPS'!$B$26+R64*'Pesos GPS'!$B$27+S64*'Pesos GPS'!$B$28+T64*'Pesos GPS'!$B$29+'Pesos GPS'!$B$30</f>
        <v>-4.199976198</v>
      </c>
      <c r="V64" s="5">
        <f t="shared" si="1"/>
        <v>0.01477437815</v>
      </c>
      <c r="W64" s="3">
        <f t="shared" si="2"/>
        <v>0</v>
      </c>
      <c r="X64" s="3">
        <f t="shared" si="3"/>
        <v>1</v>
      </c>
      <c r="Y64" s="9">
        <f t="shared" si="4"/>
        <v>0</v>
      </c>
      <c r="Z64" s="9">
        <v>0.01477437815176221</v>
      </c>
      <c r="AA64" s="3" t="str">
        <f t="shared" si="5"/>
        <v>OK</v>
      </c>
    </row>
    <row r="65" ht="15.75" customHeight="1">
      <c r="A65" s="3">
        <v>64.0</v>
      </c>
      <c r="B65" s="3" t="s">
        <v>15</v>
      </c>
      <c r="C65" s="7">
        <v>40.723352</v>
      </c>
      <c r="D65" s="7">
        <v>-74.018104</v>
      </c>
      <c r="E65" s="3">
        <v>0.0</v>
      </c>
      <c r="F65" s="3" t="s">
        <v>55</v>
      </c>
      <c r="G65" s="5">
        <f>(C65-'Pesos GPS'!$L$4)/'Pesos GPS'!$L$5</f>
        <v>1.004519289</v>
      </c>
      <c r="H65" s="5">
        <f>(D65-'Pesos GPS'!$L$6)/'Pesos GPS'!$L$7</f>
        <v>-1.000105874</v>
      </c>
      <c r="I65" s="5">
        <f>MAX(0,G65*'Pesos GPS'!B$6+H65*'Pesos GPS'!B$7+'Pesos GPS'!B$8)</f>
        <v>2.670685215</v>
      </c>
      <c r="J65" s="5">
        <f>MAX(0,G65*'Pesos GPS'!C$6+H65*'Pesos GPS'!C$7+'Pesos GPS'!C$8)</f>
        <v>0.3432038198</v>
      </c>
      <c r="K65" s="5">
        <f>MAX(0,G65*'Pesos GPS'!D$6+H65*'Pesos GPS'!D$7+'Pesos GPS'!D$8)</f>
        <v>0.4785582183</v>
      </c>
      <c r="L65" s="5">
        <f>MAX(0,G65*'Pesos GPS'!E$6+H65*'Pesos GPS'!E$7+'Pesos GPS'!E$8)</f>
        <v>1.793794436</v>
      </c>
      <c r="M65" s="5">
        <f>MAX(0,I65*'Pesos GPS'!B$13+J65*'Pesos GPS'!B$14+K65*'Pesos GPS'!B$15+L65*'Pesos GPS'!B$16+'Pesos GPS'!B$17)</f>
        <v>0</v>
      </c>
      <c r="N65" s="5">
        <f>MAX(0,I65*'Pesos GPS'!C$13+J65*'Pesos GPS'!C$14+K65*'Pesos GPS'!C$15+L65*'Pesos GPS'!C$16+'Pesos GPS'!C$17)</f>
        <v>0</v>
      </c>
      <c r="O65" s="5">
        <f>MAX(0,I65*'Pesos GPS'!D$13+J65*'Pesos GPS'!D$14+K65*'Pesos GPS'!D$15+L65*'Pesos GPS'!D$16+'Pesos GPS'!D$17)</f>
        <v>4.339139175</v>
      </c>
      <c r="P65" s="5">
        <f>MAX(0,I65*'Pesos GPS'!E$13+J65*'Pesos GPS'!E$14+K65*'Pesos GPS'!E$15+L65*'Pesos GPS'!E$16+'Pesos GPS'!E$17)</f>
        <v>3.456084026</v>
      </c>
      <c r="Q65" s="5">
        <f>MAX(0,I65*'Pesos GPS'!F$13+J65*'Pesos GPS'!F$14+K65*'Pesos GPS'!F$15+L65*'Pesos GPS'!F$16+'Pesos GPS'!F$17)</f>
        <v>0</v>
      </c>
      <c r="R65" s="5">
        <f>MAX(0,I65*'Pesos GPS'!G$13+J65*'Pesos GPS'!G$14+K65*'Pesos GPS'!G$15+L65*'Pesos GPS'!G$16+'Pesos GPS'!G$17)</f>
        <v>1.082230357</v>
      </c>
      <c r="S65" s="5">
        <f>MAX(0,I65*'Pesos GPS'!H$13+J65*'Pesos GPS'!H$14+K65*'Pesos GPS'!H$15+L65*'Pesos GPS'!H$16+'Pesos GPS'!H$17)</f>
        <v>0</v>
      </c>
      <c r="T65" s="5">
        <f>MAX(0,I65*'Pesos GPS'!I$13+J65*'Pesos GPS'!I$14+K65*'Pesos GPS'!I$15+L65*'Pesos GPS'!I$16+'Pesos GPS'!I$17)</f>
        <v>0</v>
      </c>
      <c r="U65" s="5">
        <f>M65*'Pesos GPS'!$B$22+N65*'Pesos GPS'!$B$23+O65*'Pesos GPS'!$B$24+P65*'Pesos GPS'!$B$25+Q65*'Pesos GPS'!$B$26+R65*'Pesos GPS'!$B$27+S65*'Pesos GPS'!$B$28+T65*'Pesos GPS'!$B$29+'Pesos GPS'!$B$30</f>
        <v>-4.205774677</v>
      </c>
      <c r="V65" s="5">
        <f t="shared" si="1"/>
        <v>0.01469021197</v>
      </c>
      <c r="W65" s="3">
        <f t="shared" si="2"/>
        <v>0</v>
      </c>
      <c r="X65" s="3">
        <f t="shared" si="3"/>
        <v>1</v>
      </c>
      <c r="Y65" s="9">
        <f t="shared" si="4"/>
        <v>0</v>
      </c>
      <c r="Z65" s="9">
        <v>0.014690211973401628</v>
      </c>
      <c r="AA65" s="3" t="str">
        <f t="shared" si="5"/>
        <v>OK</v>
      </c>
    </row>
    <row r="66" ht="15.75" customHeight="1">
      <c r="A66" s="3">
        <v>65.0</v>
      </c>
      <c r="B66" s="3" t="s">
        <v>15</v>
      </c>
      <c r="C66" s="7">
        <v>40.725602</v>
      </c>
      <c r="D66" s="7">
        <v>-74.014192</v>
      </c>
      <c r="E66" s="3">
        <v>0.0</v>
      </c>
      <c r="F66" s="3" t="s">
        <v>55</v>
      </c>
      <c r="G66" s="5">
        <f>(C66-'Pesos GPS'!$L$4)/'Pesos GPS'!$L$5</f>
        <v>1.005412996</v>
      </c>
      <c r="H66" s="5">
        <f>(D66-'Pesos GPS'!$L$6)/'Pesos GPS'!$L$7</f>
        <v>-1.000069254</v>
      </c>
      <c r="I66" s="5">
        <f>MAX(0,G66*'Pesos GPS'!B$6+H66*'Pesos GPS'!B$7+'Pesos GPS'!B$8)</f>
        <v>2.671003998</v>
      </c>
      <c r="J66" s="5">
        <f>MAX(0,G66*'Pesos GPS'!C$6+H66*'Pesos GPS'!C$7+'Pesos GPS'!C$8)</f>
        <v>0.342251102</v>
      </c>
      <c r="K66" s="5">
        <f>MAX(0,G66*'Pesos GPS'!D$6+H66*'Pesos GPS'!D$7+'Pesos GPS'!D$8)</f>
        <v>0.479191531</v>
      </c>
      <c r="L66" s="5">
        <f>MAX(0,G66*'Pesos GPS'!E$6+H66*'Pesos GPS'!E$7+'Pesos GPS'!E$8)</f>
        <v>1.79477539</v>
      </c>
      <c r="M66" s="5">
        <f>MAX(0,I66*'Pesos GPS'!B$13+J66*'Pesos GPS'!B$14+K66*'Pesos GPS'!B$15+L66*'Pesos GPS'!B$16+'Pesos GPS'!B$17)</f>
        <v>0</v>
      </c>
      <c r="N66" s="5">
        <f>MAX(0,I66*'Pesos GPS'!C$13+J66*'Pesos GPS'!C$14+K66*'Pesos GPS'!C$15+L66*'Pesos GPS'!C$16+'Pesos GPS'!C$17)</f>
        <v>0</v>
      </c>
      <c r="O66" s="5">
        <f>MAX(0,I66*'Pesos GPS'!D$13+J66*'Pesos GPS'!D$14+K66*'Pesos GPS'!D$15+L66*'Pesos GPS'!D$16+'Pesos GPS'!D$17)</f>
        <v>4.33977483</v>
      </c>
      <c r="P66" s="5">
        <f>MAX(0,I66*'Pesos GPS'!E$13+J66*'Pesos GPS'!E$14+K66*'Pesos GPS'!E$15+L66*'Pesos GPS'!E$16+'Pesos GPS'!E$17)</f>
        <v>3.457346932</v>
      </c>
      <c r="Q66" s="5">
        <f>MAX(0,I66*'Pesos GPS'!F$13+J66*'Pesos GPS'!F$14+K66*'Pesos GPS'!F$15+L66*'Pesos GPS'!F$16+'Pesos GPS'!F$17)</f>
        <v>0</v>
      </c>
      <c r="R66" s="5">
        <f>MAX(0,I66*'Pesos GPS'!G$13+J66*'Pesos GPS'!G$14+K66*'Pesos GPS'!G$15+L66*'Pesos GPS'!G$16+'Pesos GPS'!G$17)</f>
        <v>1.08256264</v>
      </c>
      <c r="S66" s="5">
        <f>MAX(0,I66*'Pesos GPS'!H$13+J66*'Pesos GPS'!H$14+K66*'Pesos GPS'!H$15+L66*'Pesos GPS'!H$16+'Pesos GPS'!H$17)</f>
        <v>0</v>
      </c>
      <c r="T66" s="5">
        <f>MAX(0,I66*'Pesos GPS'!I$13+J66*'Pesos GPS'!I$14+K66*'Pesos GPS'!I$15+L66*'Pesos GPS'!I$16+'Pesos GPS'!I$17)</f>
        <v>0</v>
      </c>
      <c r="U66" s="5">
        <f>M66*'Pesos GPS'!$B$22+N66*'Pesos GPS'!$B$23+O66*'Pesos GPS'!$B$24+P66*'Pesos GPS'!$B$25+Q66*'Pesos GPS'!$B$26+R66*'Pesos GPS'!$B$27+S66*'Pesos GPS'!$B$28+T66*'Pesos GPS'!$B$29+'Pesos GPS'!$B$30</f>
        <v>-4.207165341</v>
      </c>
      <c r="V66" s="5">
        <f t="shared" si="1"/>
        <v>0.01467009651</v>
      </c>
      <c r="W66" s="3">
        <f t="shared" si="2"/>
        <v>0</v>
      </c>
      <c r="X66" s="3">
        <f t="shared" si="3"/>
        <v>1</v>
      </c>
      <c r="Y66" s="9">
        <f t="shared" si="4"/>
        <v>0</v>
      </c>
      <c r="Z66" s="9">
        <v>0.014670096512001676</v>
      </c>
      <c r="AA66" s="3" t="str">
        <f t="shared" si="5"/>
        <v>OK</v>
      </c>
    </row>
    <row r="67" ht="15.75" customHeight="1">
      <c r="A67" s="3">
        <v>66.0</v>
      </c>
      <c r="B67" s="3" t="s">
        <v>15</v>
      </c>
      <c r="C67" s="7">
        <v>40.72708</v>
      </c>
      <c r="D67" s="7">
        <v>-73.980931</v>
      </c>
      <c r="E67" s="3">
        <v>0.0</v>
      </c>
      <c r="F67" s="3" t="s">
        <v>55</v>
      </c>
      <c r="G67" s="5">
        <f>(C67-'Pesos GPS'!$L$4)/'Pesos GPS'!$L$5</f>
        <v>1.006000062</v>
      </c>
      <c r="H67" s="5">
        <f>(D67-'Pesos GPS'!$L$6)/'Pesos GPS'!$L$7</f>
        <v>-0.9997579023</v>
      </c>
      <c r="I67" s="5">
        <f>MAX(0,G67*'Pesos GPS'!B$6+H67*'Pesos GPS'!B$7+'Pesos GPS'!B$8)</f>
        <v>2.670613352</v>
      </c>
      <c r="J67" s="5">
        <f>MAX(0,G67*'Pesos GPS'!C$6+H67*'Pesos GPS'!C$7+'Pesos GPS'!C$8)</f>
        <v>0.3412429782</v>
      </c>
      <c r="K67" s="5">
        <f>MAX(0,G67*'Pesos GPS'!D$6+H67*'Pesos GPS'!D$7+'Pesos GPS'!D$8)</f>
        <v>0.4796583728</v>
      </c>
      <c r="L67" s="5">
        <f>MAX(0,G67*'Pesos GPS'!E$6+H67*'Pesos GPS'!E$7+'Pesos GPS'!E$8)</f>
        <v>1.795277974</v>
      </c>
      <c r="M67" s="5">
        <f>MAX(0,I67*'Pesos GPS'!B$13+J67*'Pesos GPS'!B$14+K67*'Pesos GPS'!B$15+L67*'Pesos GPS'!B$16+'Pesos GPS'!B$17)</f>
        <v>0</v>
      </c>
      <c r="N67" s="5">
        <f>MAX(0,I67*'Pesos GPS'!C$13+J67*'Pesos GPS'!C$14+K67*'Pesos GPS'!C$15+L67*'Pesos GPS'!C$16+'Pesos GPS'!C$17)</f>
        <v>0</v>
      </c>
      <c r="O67" s="5">
        <f>MAX(0,I67*'Pesos GPS'!D$13+J67*'Pesos GPS'!D$14+K67*'Pesos GPS'!D$15+L67*'Pesos GPS'!D$16+'Pesos GPS'!D$17)</f>
        <v>4.339262508</v>
      </c>
      <c r="P67" s="5">
        <f>MAX(0,I67*'Pesos GPS'!E$13+J67*'Pesos GPS'!E$14+K67*'Pesos GPS'!E$15+L67*'Pesos GPS'!E$16+'Pesos GPS'!E$17)</f>
        <v>3.457678371</v>
      </c>
      <c r="Q67" s="5">
        <f>MAX(0,I67*'Pesos GPS'!F$13+J67*'Pesos GPS'!F$14+K67*'Pesos GPS'!F$15+L67*'Pesos GPS'!F$16+'Pesos GPS'!F$17)</f>
        <v>0</v>
      </c>
      <c r="R67" s="5">
        <f>MAX(0,I67*'Pesos GPS'!G$13+J67*'Pesos GPS'!G$14+K67*'Pesos GPS'!G$15+L67*'Pesos GPS'!G$16+'Pesos GPS'!G$17)</f>
        <v>1.08257934</v>
      </c>
      <c r="S67" s="5">
        <f>MAX(0,I67*'Pesos GPS'!H$13+J67*'Pesos GPS'!H$14+K67*'Pesos GPS'!H$15+L67*'Pesos GPS'!H$16+'Pesos GPS'!H$17)</f>
        <v>0</v>
      </c>
      <c r="T67" s="5">
        <f>MAX(0,I67*'Pesos GPS'!I$13+J67*'Pesos GPS'!I$14+K67*'Pesos GPS'!I$15+L67*'Pesos GPS'!I$16+'Pesos GPS'!I$17)</f>
        <v>0</v>
      </c>
      <c r="U67" s="5">
        <f>M67*'Pesos GPS'!$B$22+N67*'Pesos GPS'!$B$23+O67*'Pesos GPS'!$B$24+P67*'Pesos GPS'!$B$25+Q67*'Pesos GPS'!$B$26+R67*'Pesos GPS'!$B$27+S67*'Pesos GPS'!$B$28+T67*'Pesos GPS'!$B$29+'Pesos GPS'!$B$30</f>
        <v>-4.206801101</v>
      </c>
      <c r="V67" s="5">
        <f t="shared" si="1"/>
        <v>0.01467536249</v>
      </c>
      <c r="W67" s="3">
        <f t="shared" si="2"/>
        <v>0</v>
      </c>
      <c r="X67" s="3">
        <f t="shared" si="3"/>
        <v>1</v>
      </c>
      <c r="Y67" s="9">
        <f t="shared" si="4"/>
        <v>0</v>
      </c>
      <c r="Z67" s="9">
        <v>0.014675362493428178</v>
      </c>
      <c r="AA67" s="3" t="str">
        <f t="shared" si="5"/>
        <v>OK</v>
      </c>
    </row>
    <row r="68" ht="15.75" customHeight="1">
      <c r="A68" s="3">
        <v>67.0</v>
      </c>
      <c r="B68" s="3" t="s">
        <v>15</v>
      </c>
      <c r="C68" s="7">
        <v>40.706523</v>
      </c>
      <c r="D68" s="7">
        <v>-73.992547</v>
      </c>
      <c r="E68" s="3">
        <v>0.0</v>
      </c>
      <c r="F68" s="3" t="s">
        <v>55</v>
      </c>
      <c r="G68" s="5">
        <f>(C68-'Pesos GPS'!$L$4)/'Pesos GPS'!$L$5</f>
        <v>0.9978347577</v>
      </c>
      <c r="H68" s="5">
        <f>(D68-'Pesos GPS'!$L$6)/'Pesos GPS'!$L$7</f>
        <v>-0.9998666382</v>
      </c>
      <c r="I68" s="5">
        <f>MAX(0,G68*'Pesos GPS'!B$6+H68*'Pesos GPS'!B$7+'Pesos GPS'!B$8)</f>
        <v>2.667229122</v>
      </c>
      <c r="J68" s="5">
        <f>MAX(0,G68*'Pesos GPS'!C$6+H68*'Pesos GPS'!C$7+'Pesos GPS'!C$8)</f>
        <v>0.3496469171</v>
      </c>
      <c r="K68" s="5">
        <f>MAX(0,G68*'Pesos GPS'!D$6+H68*'Pesos GPS'!D$7+'Pesos GPS'!D$8)</f>
        <v>0.4739120994</v>
      </c>
      <c r="L68" s="5">
        <f>MAX(0,G68*'Pesos GPS'!E$6+H68*'Pesos GPS'!E$7+'Pesos GPS'!E$8)</f>
        <v>1.78620408</v>
      </c>
      <c r="M68" s="5">
        <f>MAX(0,I68*'Pesos GPS'!B$13+J68*'Pesos GPS'!B$14+K68*'Pesos GPS'!B$15+L68*'Pesos GPS'!B$16+'Pesos GPS'!B$17)</f>
        <v>0</v>
      </c>
      <c r="N68" s="5">
        <f>MAX(0,I68*'Pesos GPS'!C$13+J68*'Pesos GPS'!C$14+K68*'Pesos GPS'!C$15+L68*'Pesos GPS'!C$16+'Pesos GPS'!C$17)</f>
        <v>0</v>
      </c>
      <c r="O68" s="5">
        <f>MAX(0,I68*'Pesos GPS'!D$13+J68*'Pesos GPS'!D$14+K68*'Pesos GPS'!D$15+L68*'Pesos GPS'!D$16+'Pesos GPS'!D$17)</f>
        <v>4.332723925</v>
      </c>
      <c r="P68" s="5">
        <f>MAX(0,I68*'Pesos GPS'!E$13+J68*'Pesos GPS'!E$14+K68*'Pesos GPS'!E$15+L68*'Pesos GPS'!E$16+'Pesos GPS'!E$17)</f>
        <v>3.445748318</v>
      </c>
      <c r="Q68" s="5">
        <f>MAX(0,I68*'Pesos GPS'!F$13+J68*'Pesos GPS'!F$14+K68*'Pesos GPS'!F$15+L68*'Pesos GPS'!F$16+'Pesos GPS'!F$17)</f>
        <v>0</v>
      </c>
      <c r="R68" s="5">
        <f>MAX(0,I68*'Pesos GPS'!G$13+J68*'Pesos GPS'!G$14+K68*'Pesos GPS'!G$15+L68*'Pesos GPS'!G$16+'Pesos GPS'!G$17)</f>
        <v>1.079385006</v>
      </c>
      <c r="S68" s="5">
        <f>MAX(0,I68*'Pesos GPS'!H$13+J68*'Pesos GPS'!H$14+K68*'Pesos GPS'!H$15+L68*'Pesos GPS'!H$16+'Pesos GPS'!H$17)</f>
        <v>0.0006099308639</v>
      </c>
      <c r="T68" s="5">
        <f>MAX(0,I68*'Pesos GPS'!I$13+J68*'Pesos GPS'!I$14+K68*'Pesos GPS'!I$15+L68*'Pesos GPS'!I$16+'Pesos GPS'!I$17)</f>
        <v>0</v>
      </c>
      <c r="U68" s="5">
        <f>M68*'Pesos GPS'!$B$22+N68*'Pesos GPS'!$B$23+O68*'Pesos GPS'!$B$24+P68*'Pesos GPS'!$B$25+Q68*'Pesos GPS'!$B$26+R68*'Pesos GPS'!$B$27+S68*'Pesos GPS'!$B$28+T68*'Pesos GPS'!$B$29+'Pesos GPS'!$B$30</f>
        <v>-4.192902131</v>
      </c>
      <c r="V68" s="5">
        <f t="shared" si="1"/>
        <v>0.01487770318</v>
      </c>
      <c r="W68" s="3">
        <f t="shared" si="2"/>
        <v>0</v>
      </c>
      <c r="X68" s="3">
        <f t="shared" si="3"/>
        <v>1</v>
      </c>
      <c r="Y68" s="9">
        <f t="shared" si="4"/>
        <v>0</v>
      </c>
      <c r="Z68" s="9">
        <v>0.014877703184815284</v>
      </c>
      <c r="AA68" s="3" t="str">
        <f t="shared" si="5"/>
        <v>OK</v>
      </c>
    </row>
    <row r="69" ht="15.75" customHeight="1">
      <c r="A69" s="3">
        <v>68.0</v>
      </c>
      <c r="B69" s="3" t="s">
        <v>15</v>
      </c>
      <c r="C69" s="7">
        <v>40.704478</v>
      </c>
      <c r="D69" s="7">
        <v>-73.972565</v>
      </c>
      <c r="E69" s="3">
        <v>0.0</v>
      </c>
      <c r="F69" s="3" t="s">
        <v>55</v>
      </c>
      <c r="G69" s="5">
        <f>(C69-'Pesos GPS'!$L$4)/'Pesos GPS'!$L$5</f>
        <v>0.9970224774</v>
      </c>
      <c r="H69" s="5">
        <f>(D69-'Pesos GPS'!$L$6)/'Pesos GPS'!$L$7</f>
        <v>-0.9996795893</v>
      </c>
      <c r="I69" s="5">
        <f>MAX(0,G69*'Pesos GPS'!B$6+H69*'Pesos GPS'!B$7+'Pesos GPS'!B$8)</f>
        <v>2.666479195</v>
      </c>
      <c r="J69" s="5">
        <f>MAX(0,G69*'Pesos GPS'!C$6+H69*'Pesos GPS'!C$7+'Pesos GPS'!C$8)</f>
        <v>0.3502196447</v>
      </c>
      <c r="K69" s="5">
        <f>MAX(0,G69*'Pesos GPS'!D$6+H69*'Pesos GPS'!D$7+'Pesos GPS'!D$8)</f>
        <v>0.4733754675</v>
      </c>
      <c r="L69" s="5">
        <f>MAX(0,G69*'Pesos GPS'!E$6+H69*'Pesos GPS'!E$7+'Pesos GPS'!E$8)</f>
        <v>1.785203758</v>
      </c>
      <c r="M69" s="5">
        <f>MAX(0,I69*'Pesos GPS'!B$13+J69*'Pesos GPS'!B$14+K69*'Pesos GPS'!B$15+L69*'Pesos GPS'!B$16+'Pesos GPS'!B$17)</f>
        <v>0</v>
      </c>
      <c r="N69" s="5">
        <f>MAX(0,I69*'Pesos GPS'!C$13+J69*'Pesos GPS'!C$14+K69*'Pesos GPS'!C$15+L69*'Pesos GPS'!C$16+'Pesos GPS'!C$17)</f>
        <v>0</v>
      </c>
      <c r="O69" s="5">
        <f>MAX(0,I69*'Pesos GPS'!D$13+J69*'Pesos GPS'!D$14+K69*'Pesos GPS'!D$15+L69*'Pesos GPS'!D$16+'Pesos GPS'!D$17)</f>
        <v>4.33143305</v>
      </c>
      <c r="P69" s="5">
        <f>MAX(0,I69*'Pesos GPS'!E$13+J69*'Pesos GPS'!E$14+K69*'Pesos GPS'!E$15+L69*'Pesos GPS'!E$16+'Pesos GPS'!E$17)</f>
        <v>3.444218439</v>
      </c>
      <c r="Q69" s="5">
        <f>MAX(0,I69*'Pesos GPS'!F$13+J69*'Pesos GPS'!F$14+K69*'Pesos GPS'!F$15+L69*'Pesos GPS'!F$16+'Pesos GPS'!F$17)</f>
        <v>0</v>
      </c>
      <c r="R69" s="5">
        <f>MAX(0,I69*'Pesos GPS'!G$13+J69*'Pesos GPS'!G$14+K69*'Pesos GPS'!G$15+L69*'Pesos GPS'!G$16+'Pesos GPS'!G$17)</f>
        <v>1.07892841</v>
      </c>
      <c r="S69" s="5">
        <f>MAX(0,I69*'Pesos GPS'!H$13+J69*'Pesos GPS'!H$14+K69*'Pesos GPS'!H$15+L69*'Pesos GPS'!H$16+'Pesos GPS'!H$17)</f>
        <v>0.0009081881847</v>
      </c>
      <c r="T69" s="5">
        <f>MAX(0,I69*'Pesos GPS'!I$13+J69*'Pesos GPS'!I$14+K69*'Pesos GPS'!I$15+L69*'Pesos GPS'!I$16+'Pesos GPS'!I$17)</f>
        <v>0</v>
      </c>
      <c r="U69" s="5">
        <f>M69*'Pesos GPS'!$B$22+N69*'Pesos GPS'!$B$23+O69*'Pesos GPS'!$B$24+P69*'Pesos GPS'!$B$25+Q69*'Pesos GPS'!$B$26+R69*'Pesos GPS'!$B$27+S69*'Pesos GPS'!$B$28+T69*'Pesos GPS'!$B$29+'Pesos GPS'!$B$30</f>
        <v>-4.190565907</v>
      </c>
      <c r="V69" s="5">
        <f t="shared" si="1"/>
        <v>0.01491198256</v>
      </c>
      <c r="W69" s="3">
        <f t="shared" si="2"/>
        <v>0</v>
      </c>
      <c r="X69" s="3">
        <f t="shared" si="3"/>
        <v>1</v>
      </c>
      <c r="Y69" s="9">
        <f t="shared" si="4"/>
        <v>0</v>
      </c>
      <c r="Z69" s="9">
        <v>0.01491198256080694</v>
      </c>
      <c r="AA69" s="3" t="str">
        <f t="shared" si="5"/>
        <v>OK</v>
      </c>
    </row>
    <row r="70" ht="15.75" customHeight="1">
      <c r="A70" s="3">
        <v>69.0</v>
      </c>
      <c r="B70" s="3" t="s">
        <v>15</v>
      </c>
      <c r="C70" s="7">
        <v>40.728244</v>
      </c>
      <c r="D70" s="7">
        <v>-74.009863</v>
      </c>
      <c r="E70" s="3">
        <v>0.0</v>
      </c>
      <c r="F70" s="3" t="s">
        <v>55</v>
      </c>
      <c r="G70" s="5">
        <f>(C70-'Pesos GPS'!$L$4)/'Pesos GPS'!$L$5</f>
        <v>1.006462407</v>
      </c>
      <c r="H70" s="5">
        <f>(D70-'Pesos GPS'!$L$6)/'Pesos GPS'!$L$7</f>
        <v>-1.000028731</v>
      </c>
      <c r="I70" s="5">
        <f>MAX(0,G70*'Pesos GPS'!B$6+H70*'Pesos GPS'!B$7+'Pesos GPS'!B$8)</f>
        <v>2.671383493</v>
      </c>
      <c r="J70" s="5">
        <f>MAX(0,G70*'Pesos GPS'!C$6+H70*'Pesos GPS'!C$7+'Pesos GPS'!C$8)</f>
        <v>0.3411356951</v>
      </c>
      <c r="K70" s="5">
        <f>MAX(0,G70*'Pesos GPS'!D$6+H70*'Pesos GPS'!D$7+'Pesos GPS'!D$8)</f>
        <v>0.4799347428</v>
      </c>
      <c r="L70" s="5">
        <f>MAX(0,G70*'Pesos GPS'!E$6+H70*'Pesos GPS'!E$7+'Pesos GPS'!E$8)</f>
        <v>1.79592847</v>
      </c>
      <c r="M70" s="5">
        <f>MAX(0,I70*'Pesos GPS'!B$13+J70*'Pesos GPS'!B$14+K70*'Pesos GPS'!B$15+L70*'Pesos GPS'!B$16+'Pesos GPS'!B$17)</f>
        <v>0</v>
      </c>
      <c r="N70" s="5">
        <f>MAX(0,I70*'Pesos GPS'!C$13+J70*'Pesos GPS'!C$14+K70*'Pesos GPS'!C$15+L70*'Pesos GPS'!C$16+'Pesos GPS'!C$17)</f>
        <v>0</v>
      </c>
      <c r="O70" s="5">
        <f>MAX(0,I70*'Pesos GPS'!D$13+J70*'Pesos GPS'!D$14+K70*'Pesos GPS'!D$15+L70*'Pesos GPS'!D$16+'Pesos GPS'!D$17)</f>
        <v>4.340529245</v>
      </c>
      <c r="P70" s="5">
        <f>MAX(0,I70*'Pesos GPS'!E$13+J70*'Pesos GPS'!E$14+K70*'Pesos GPS'!E$15+L70*'Pesos GPS'!E$16+'Pesos GPS'!E$17)</f>
        <v>3.458834158</v>
      </c>
      <c r="Q70" s="5">
        <f>MAX(0,I70*'Pesos GPS'!F$13+J70*'Pesos GPS'!F$14+K70*'Pesos GPS'!F$15+L70*'Pesos GPS'!F$16+'Pesos GPS'!F$17)</f>
        <v>0</v>
      </c>
      <c r="R70" s="5">
        <f>MAX(0,I70*'Pesos GPS'!G$13+J70*'Pesos GPS'!G$14+K70*'Pesos GPS'!G$15+L70*'Pesos GPS'!G$16+'Pesos GPS'!G$17)</f>
        <v>1.082954551</v>
      </c>
      <c r="S70" s="5">
        <f>MAX(0,I70*'Pesos GPS'!H$13+J70*'Pesos GPS'!H$14+K70*'Pesos GPS'!H$15+L70*'Pesos GPS'!H$16+'Pesos GPS'!H$17)</f>
        <v>0</v>
      </c>
      <c r="T70" s="5">
        <f>MAX(0,I70*'Pesos GPS'!I$13+J70*'Pesos GPS'!I$14+K70*'Pesos GPS'!I$15+L70*'Pesos GPS'!I$16+'Pesos GPS'!I$17)</f>
        <v>0</v>
      </c>
      <c r="U70" s="5">
        <f>M70*'Pesos GPS'!$B$22+N70*'Pesos GPS'!$B$23+O70*'Pesos GPS'!$B$24+P70*'Pesos GPS'!$B$25+Q70*'Pesos GPS'!$B$26+R70*'Pesos GPS'!$B$27+S70*'Pesos GPS'!$B$28+T70*'Pesos GPS'!$B$29+'Pesos GPS'!$B$30</f>
        <v>-4.208809304</v>
      </c>
      <c r="V70" s="5">
        <f t="shared" si="1"/>
        <v>0.01464635217</v>
      </c>
      <c r="W70" s="3">
        <f t="shared" si="2"/>
        <v>0</v>
      </c>
      <c r="X70" s="3">
        <f t="shared" si="3"/>
        <v>1</v>
      </c>
      <c r="Y70" s="9">
        <f t="shared" si="4"/>
        <v>0</v>
      </c>
      <c r="Z70" s="9">
        <v>0.014646352169841155</v>
      </c>
      <c r="AA70" s="3" t="str">
        <f t="shared" si="5"/>
        <v>OK</v>
      </c>
    </row>
    <row r="71" ht="15.75" customHeight="1">
      <c r="A71" s="3">
        <v>70.0</v>
      </c>
      <c r="B71" s="3" t="s">
        <v>15</v>
      </c>
      <c r="C71" s="7">
        <v>40.709357</v>
      </c>
      <c r="D71" s="7">
        <v>-74.023399</v>
      </c>
      <c r="E71" s="3">
        <v>0.0</v>
      </c>
      <c r="F71" s="3" t="s">
        <v>55</v>
      </c>
      <c r="G71" s="5">
        <f>(C71-'Pesos GPS'!$L$4)/'Pesos GPS'!$L$5</f>
        <v>0.9989604313</v>
      </c>
      <c r="H71" s="5">
        <f>(D71-'Pesos GPS'!$L$6)/'Pesos GPS'!$L$7</f>
        <v>-1.00015544</v>
      </c>
      <c r="I71" s="5">
        <f>MAX(0,G71*'Pesos GPS'!B$6+H71*'Pesos GPS'!B$7+'Pesos GPS'!B$8)</f>
        <v>2.668330177</v>
      </c>
      <c r="J71" s="5">
        <f>MAX(0,G71*'Pesos GPS'!C$6+H71*'Pesos GPS'!C$7+'Pesos GPS'!C$8)</f>
        <v>0.3488925888</v>
      </c>
      <c r="K71" s="5">
        <f>MAX(0,G71*'Pesos GPS'!D$6+H71*'Pesos GPS'!D$7+'Pesos GPS'!D$8)</f>
        <v>0.4746505402</v>
      </c>
      <c r="L71" s="5">
        <f>MAX(0,G71*'Pesos GPS'!E$6+H71*'Pesos GPS'!E$7+'Pesos GPS'!E$8)</f>
        <v>1.787604947</v>
      </c>
      <c r="M71" s="5">
        <f>MAX(0,I71*'Pesos GPS'!B$13+J71*'Pesos GPS'!B$14+K71*'Pesos GPS'!B$15+L71*'Pesos GPS'!B$16+'Pesos GPS'!B$17)</f>
        <v>0</v>
      </c>
      <c r="N71" s="5">
        <f>MAX(0,I71*'Pesos GPS'!C$13+J71*'Pesos GPS'!C$14+K71*'Pesos GPS'!C$15+L71*'Pesos GPS'!C$16+'Pesos GPS'!C$17)</f>
        <v>0</v>
      </c>
      <c r="O71" s="5">
        <f>MAX(0,I71*'Pesos GPS'!D$13+J71*'Pesos GPS'!D$14+K71*'Pesos GPS'!D$15+L71*'Pesos GPS'!D$16+'Pesos GPS'!D$17)</f>
        <v>4.334608604</v>
      </c>
      <c r="P71" s="5">
        <f>MAX(0,I71*'Pesos GPS'!E$13+J71*'Pesos GPS'!E$14+K71*'Pesos GPS'!E$15+L71*'Pesos GPS'!E$16+'Pesos GPS'!E$17)</f>
        <v>3.447919753</v>
      </c>
      <c r="Q71" s="5">
        <f>MAX(0,I71*'Pesos GPS'!F$13+J71*'Pesos GPS'!F$14+K71*'Pesos GPS'!F$15+L71*'Pesos GPS'!F$16+'Pesos GPS'!F$17)</f>
        <v>0</v>
      </c>
      <c r="R71" s="5">
        <f>MAX(0,I71*'Pesos GPS'!G$13+J71*'Pesos GPS'!G$14+K71*'Pesos GPS'!G$15+L71*'Pesos GPS'!G$16+'Pesos GPS'!G$17)</f>
        <v>1.080038524</v>
      </c>
      <c r="S71" s="5">
        <f>MAX(0,I71*'Pesos GPS'!H$13+J71*'Pesos GPS'!H$14+K71*'Pesos GPS'!H$15+L71*'Pesos GPS'!H$16+'Pesos GPS'!H$17)</f>
        <v>0.0002198912057</v>
      </c>
      <c r="T71" s="5">
        <f>MAX(0,I71*'Pesos GPS'!I$13+J71*'Pesos GPS'!I$14+K71*'Pesos GPS'!I$15+L71*'Pesos GPS'!I$16+'Pesos GPS'!I$17)</f>
        <v>0</v>
      </c>
      <c r="U71" s="5">
        <f>M71*'Pesos GPS'!$B$22+N71*'Pesos GPS'!$B$23+O71*'Pesos GPS'!$B$24+P71*'Pesos GPS'!$B$25+Q71*'Pesos GPS'!$B$26+R71*'Pesos GPS'!$B$27+S71*'Pesos GPS'!$B$28+T71*'Pesos GPS'!$B$29+'Pesos GPS'!$B$30</f>
        <v>-4.196264087</v>
      </c>
      <c r="V71" s="5">
        <f t="shared" si="1"/>
        <v>0.01482850944</v>
      </c>
      <c r="W71" s="3">
        <f t="shared" si="2"/>
        <v>0</v>
      </c>
      <c r="X71" s="3">
        <f t="shared" si="3"/>
        <v>1</v>
      </c>
      <c r="Y71" s="9">
        <f t="shared" si="4"/>
        <v>0</v>
      </c>
      <c r="Z71" s="9">
        <v>0.01482850944027447</v>
      </c>
      <c r="AA71" s="3" t="str">
        <f t="shared" si="5"/>
        <v>OK</v>
      </c>
    </row>
    <row r="72" ht="15.75" customHeight="1">
      <c r="A72" s="3">
        <v>71.0</v>
      </c>
      <c r="B72" s="3" t="s">
        <v>15</v>
      </c>
      <c r="C72" s="7">
        <v>40.689838</v>
      </c>
      <c r="D72" s="7">
        <v>-74.011596</v>
      </c>
      <c r="E72" s="3">
        <v>0.0</v>
      </c>
      <c r="F72" s="3" t="s">
        <v>55</v>
      </c>
      <c r="G72" s="5">
        <f>(C72-'Pesos GPS'!$L$4)/'Pesos GPS'!$L$5</f>
        <v>0.9912074238</v>
      </c>
      <c r="H72" s="5">
        <f>(D72-'Pesos GPS'!$L$6)/'Pesos GPS'!$L$7</f>
        <v>-1.000044953</v>
      </c>
      <c r="I72" s="5">
        <f>MAX(0,G72*'Pesos GPS'!B$6+H72*'Pesos GPS'!B$7+'Pesos GPS'!B$8)</f>
        <v>2.664670427</v>
      </c>
      <c r="J72" s="5">
        <f>MAX(0,G72*'Pesos GPS'!C$6+H72*'Pesos GPS'!C$7+'Pesos GPS'!C$8)</f>
        <v>0.3565877773</v>
      </c>
      <c r="K72" s="5">
        <f>MAX(0,G72*'Pesos GPS'!D$6+H72*'Pesos GPS'!D$7+'Pesos GPS'!D$8)</f>
        <v>0.4692322289</v>
      </c>
      <c r="L72" s="5">
        <f>MAX(0,G72*'Pesos GPS'!E$6+H72*'Pesos GPS'!E$7+'Pesos GPS'!E$8)</f>
        <v>1.778883741</v>
      </c>
      <c r="M72" s="5">
        <f>MAX(0,I72*'Pesos GPS'!B$13+J72*'Pesos GPS'!B$14+K72*'Pesos GPS'!B$15+L72*'Pesos GPS'!B$16+'Pesos GPS'!B$17)</f>
        <v>0</v>
      </c>
      <c r="N72" s="5">
        <f>MAX(0,I72*'Pesos GPS'!C$13+J72*'Pesos GPS'!C$14+K72*'Pesos GPS'!C$15+L72*'Pesos GPS'!C$16+'Pesos GPS'!C$17)</f>
        <v>0</v>
      </c>
      <c r="O72" s="5">
        <f>MAX(0,I72*'Pesos GPS'!D$13+J72*'Pesos GPS'!D$14+K72*'Pesos GPS'!D$15+L72*'Pesos GPS'!D$16+'Pesos GPS'!D$17)</f>
        <v>4.327708406</v>
      </c>
      <c r="P72" s="5">
        <f>MAX(0,I72*'Pesos GPS'!E$13+J72*'Pesos GPS'!E$14+K72*'Pesos GPS'!E$15+L72*'Pesos GPS'!E$16+'Pesos GPS'!E$17)</f>
        <v>3.4362215</v>
      </c>
      <c r="Q72" s="5">
        <f>MAX(0,I72*'Pesos GPS'!F$13+J72*'Pesos GPS'!F$14+K72*'Pesos GPS'!F$15+L72*'Pesos GPS'!F$16+'Pesos GPS'!F$17)</f>
        <v>0</v>
      </c>
      <c r="R72" s="5">
        <f>MAX(0,I72*'Pesos GPS'!G$13+J72*'Pesos GPS'!G$14+K72*'Pesos GPS'!G$15+L72*'Pesos GPS'!G$16+'Pesos GPS'!G$17)</f>
        <v>1.076855526</v>
      </c>
      <c r="S72" s="5">
        <f>MAX(0,I72*'Pesos GPS'!H$13+J72*'Pesos GPS'!H$14+K72*'Pesos GPS'!H$15+L72*'Pesos GPS'!H$16+'Pesos GPS'!H$17)</f>
        <v>0.004385189898</v>
      </c>
      <c r="T72" s="5">
        <f>MAX(0,I72*'Pesos GPS'!I$13+J72*'Pesos GPS'!I$14+K72*'Pesos GPS'!I$15+L72*'Pesos GPS'!I$16+'Pesos GPS'!I$17)</f>
        <v>0</v>
      </c>
      <c r="U72" s="5">
        <f>M72*'Pesos GPS'!$B$22+N72*'Pesos GPS'!$B$23+O72*'Pesos GPS'!$B$24+P72*'Pesos GPS'!$B$25+Q72*'Pesos GPS'!$B$26+R72*'Pesos GPS'!$B$27+S72*'Pesos GPS'!$B$28+T72*'Pesos GPS'!$B$29+'Pesos GPS'!$B$30</f>
        <v>-4.181006102</v>
      </c>
      <c r="V72" s="5">
        <f t="shared" si="1"/>
        <v>0.01505306559</v>
      </c>
      <c r="W72" s="3">
        <f t="shared" si="2"/>
        <v>0</v>
      </c>
      <c r="X72" s="3">
        <f t="shared" si="3"/>
        <v>1</v>
      </c>
      <c r="Y72" s="9">
        <f t="shared" si="4"/>
        <v>0</v>
      </c>
      <c r="Z72" s="9">
        <v>0.01505306559011182</v>
      </c>
      <c r="AA72" s="3" t="str">
        <f t="shared" si="5"/>
        <v>OK</v>
      </c>
    </row>
    <row r="73" ht="15.75" customHeight="1">
      <c r="A73" s="3">
        <v>72.0</v>
      </c>
      <c r="B73" s="3" t="s">
        <v>15</v>
      </c>
      <c r="C73" s="7">
        <v>40.692401</v>
      </c>
      <c r="D73" s="7">
        <v>-73.999938</v>
      </c>
      <c r="E73" s="3">
        <v>0.0</v>
      </c>
      <c r="F73" s="3" t="s">
        <v>55</v>
      </c>
      <c r="G73" s="5">
        <f>(C73-'Pesos GPS'!$L$4)/'Pesos GPS'!$L$5</f>
        <v>0.9922254554</v>
      </c>
      <c r="H73" s="5">
        <f>(D73-'Pesos GPS'!$L$6)/'Pesos GPS'!$L$7</f>
        <v>-0.9999358244</v>
      </c>
      <c r="I73" s="5">
        <f>MAX(0,G73*'Pesos GPS'!B$6+H73*'Pesos GPS'!B$7+'Pesos GPS'!B$8)</f>
        <v>2.664892752</v>
      </c>
      <c r="J73" s="5">
        <f>MAX(0,G73*'Pesos GPS'!C$6+H73*'Pesos GPS'!C$7+'Pesos GPS'!C$8)</f>
        <v>0.3554128194</v>
      </c>
      <c r="K73" s="5">
        <f>MAX(0,G73*'Pesos GPS'!D$6+H73*'Pesos GPS'!D$7+'Pesos GPS'!D$8)</f>
        <v>0.4699655689</v>
      </c>
      <c r="L73" s="5">
        <f>MAX(0,G73*'Pesos GPS'!E$6+H73*'Pesos GPS'!E$7+'Pesos GPS'!E$8)</f>
        <v>1.779967885</v>
      </c>
      <c r="M73" s="5">
        <f>MAX(0,I73*'Pesos GPS'!B$13+J73*'Pesos GPS'!B$14+K73*'Pesos GPS'!B$15+L73*'Pesos GPS'!B$16+'Pesos GPS'!B$17)</f>
        <v>0</v>
      </c>
      <c r="N73" s="5">
        <f>MAX(0,I73*'Pesos GPS'!C$13+J73*'Pesos GPS'!C$14+K73*'Pesos GPS'!C$15+L73*'Pesos GPS'!C$16+'Pesos GPS'!C$17)</f>
        <v>0</v>
      </c>
      <c r="O73" s="5">
        <f>MAX(0,I73*'Pesos GPS'!D$13+J73*'Pesos GPS'!D$14+K73*'Pesos GPS'!D$15+L73*'Pesos GPS'!D$16+'Pesos GPS'!D$17)</f>
        <v>4.328214289</v>
      </c>
      <c r="P73" s="5">
        <f>MAX(0,I73*'Pesos GPS'!E$13+J73*'Pesos GPS'!E$14+K73*'Pesos GPS'!E$15+L73*'Pesos GPS'!E$16+'Pesos GPS'!E$17)</f>
        <v>3.437543197</v>
      </c>
      <c r="Q73" s="5">
        <f>MAX(0,I73*'Pesos GPS'!F$13+J73*'Pesos GPS'!F$14+K73*'Pesos GPS'!F$15+L73*'Pesos GPS'!F$16+'Pesos GPS'!F$17)</f>
        <v>0</v>
      </c>
      <c r="R73" s="5">
        <f>MAX(0,I73*'Pesos GPS'!G$13+J73*'Pesos GPS'!G$14+K73*'Pesos GPS'!G$15+L73*'Pesos GPS'!G$16+'Pesos GPS'!G$17)</f>
        <v>1.077186734</v>
      </c>
      <c r="S73" s="5">
        <f>MAX(0,I73*'Pesos GPS'!H$13+J73*'Pesos GPS'!H$14+K73*'Pesos GPS'!H$15+L73*'Pesos GPS'!H$16+'Pesos GPS'!H$17)</f>
        <v>0.003740921071</v>
      </c>
      <c r="T73" s="5">
        <f>MAX(0,I73*'Pesos GPS'!I$13+J73*'Pesos GPS'!I$14+K73*'Pesos GPS'!I$15+L73*'Pesos GPS'!I$16+'Pesos GPS'!I$17)</f>
        <v>0</v>
      </c>
      <c r="U73" s="5">
        <f>M73*'Pesos GPS'!$B$22+N73*'Pesos GPS'!$B$23+O73*'Pesos GPS'!$B$24+P73*'Pesos GPS'!$B$25+Q73*'Pesos GPS'!$B$26+R73*'Pesos GPS'!$B$27+S73*'Pesos GPS'!$B$28+T73*'Pesos GPS'!$B$29+'Pesos GPS'!$B$30</f>
        <v>-4.182489856</v>
      </c>
      <c r="V73" s="5">
        <f t="shared" si="1"/>
        <v>0.01503108258</v>
      </c>
      <c r="W73" s="3">
        <f t="shared" si="2"/>
        <v>0</v>
      </c>
      <c r="X73" s="3">
        <f t="shared" si="3"/>
        <v>1</v>
      </c>
      <c r="Y73" s="9">
        <f t="shared" si="4"/>
        <v>0</v>
      </c>
      <c r="Z73" s="9">
        <v>0.015031082577304402</v>
      </c>
      <c r="AA73" s="3" t="str">
        <f t="shared" si="5"/>
        <v>OK</v>
      </c>
    </row>
    <row r="74" ht="15.75" customHeight="1">
      <c r="A74" s="3">
        <v>73.0</v>
      </c>
      <c r="B74" s="3" t="s">
        <v>15</v>
      </c>
      <c r="C74" s="7">
        <v>40.69625</v>
      </c>
      <c r="D74" s="7">
        <v>-74.001586</v>
      </c>
      <c r="E74" s="3">
        <v>0.0</v>
      </c>
      <c r="F74" s="3" t="s">
        <v>55</v>
      </c>
      <c r="G74" s="5">
        <f>(C74-'Pesos GPS'!$L$4)/'Pesos GPS'!$L$5</f>
        <v>0.9937542901</v>
      </c>
      <c r="H74" s="5">
        <f>(D74-'Pesos GPS'!$L$6)/'Pesos GPS'!$L$7</f>
        <v>-0.9999512511</v>
      </c>
      <c r="I74" s="5">
        <f>MAX(0,G74*'Pesos GPS'!B$6+H74*'Pesos GPS'!B$7+'Pesos GPS'!B$8)</f>
        <v>2.665601143</v>
      </c>
      <c r="J74" s="5">
        <f>MAX(0,G74*'Pesos GPS'!C$6+H74*'Pesos GPS'!C$7+'Pesos GPS'!C$8)</f>
        <v>0.3538869226</v>
      </c>
      <c r="K74" s="5">
        <f>MAX(0,G74*'Pesos GPS'!D$6+H74*'Pesos GPS'!D$7+'Pesos GPS'!D$8)</f>
        <v>0.4710351443</v>
      </c>
      <c r="L74" s="5">
        <f>MAX(0,G74*'Pesos GPS'!E$6+H74*'Pesos GPS'!E$7+'Pesos GPS'!E$8)</f>
        <v>1.781684502</v>
      </c>
      <c r="M74" s="5">
        <f>MAX(0,I74*'Pesos GPS'!B$13+J74*'Pesos GPS'!B$14+K74*'Pesos GPS'!B$15+L74*'Pesos GPS'!B$16+'Pesos GPS'!B$17)</f>
        <v>0</v>
      </c>
      <c r="N74" s="5">
        <f>MAX(0,I74*'Pesos GPS'!C$13+J74*'Pesos GPS'!C$14+K74*'Pesos GPS'!C$15+L74*'Pesos GPS'!C$16+'Pesos GPS'!C$17)</f>
        <v>0</v>
      </c>
      <c r="O74" s="5">
        <f>MAX(0,I74*'Pesos GPS'!D$13+J74*'Pesos GPS'!D$14+K74*'Pesos GPS'!D$15+L74*'Pesos GPS'!D$16+'Pesos GPS'!D$17)</f>
        <v>4.32955437</v>
      </c>
      <c r="P74" s="5">
        <f>MAX(0,I74*'Pesos GPS'!E$13+J74*'Pesos GPS'!E$14+K74*'Pesos GPS'!E$15+L74*'Pesos GPS'!E$16+'Pesos GPS'!E$17)</f>
        <v>3.439838976</v>
      </c>
      <c r="Q74" s="5">
        <f>MAX(0,I74*'Pesos GPS'!F$13+J74*'Pesos GPS'!F$14+K74*'Pesos GPS'!F$15+L74*'Pesos GPS'!F$16+'Pesos GPS'!F$17)</f>
        <v>0</v>
      </c>
      <c r="R74" s="5">
        <f>MAX(0,I74*'Pesos GPS'!G$13+J74*'Pesos GPS'!G$14+K74*'Pesos GPS'!G$15+L74*'Pesos GPS'!G$16+'Pesos GPS'!G$17)</f>
        <v>1.077809935</v>
      </c>
      <c r="S74" s="5">
        <f>MAX(0,I74*'Pesos GPS'!H$13+J74*'Pesos GPS'!H$14+K74*'Pesos GPS'!H$15+L74*'Pesos GPS'!H$16+'Pesos GPS'!H$17)</f>
        <v>0.002914548355</v>
      </c>
      <c r="T74" s="5">
        <f>MAX(0,I74*'Pesos GPS'!I$13+J74*'Pesos GPS'!I$14+K74*'Pesos GPS'!I$15+L74*'Pesos GPS'!I$16+'Pesos GPS'!I$17)</f>
        <v>0</v>
      </c>
      <c r="U74" s="5">
        <f>M74*'Pesos GPS'!$B$22+N74*'Pesos GPS'!$B$23+O74*'Pesos GPS'!$B$24+P74*'Pesos GPS'!$B$25+Q74*'Pesos GPS'!$B$26+R74*'Pesos GPS'!$B$27+S74*'Pesos GPS'!$B$28+T74*'Pesos GPS'!$B$29+'Pesos GPS'!$B$30</f>
        <v>-4.185471878</v>
      </c>
      <c r="V74" s="5">
        <f t="shared" si="1"/>
        <v>0.01498699708</v>
      </c>
      <c r="W74" s="3">
        <f t="shared" si="2"/>
        <v>0</v>
      </c>
      <c r="X74" s="3">
        <f t="shared" si="3"/>
        <v>1</v>
      </c>
      <c r="Y74" s="9">
        <f t="shared" si="4"/>
        <v>0</v>
      </c>
      <c r="Z74" s="9">
        <v>0.014986997080373248</v>
      </c>
      <c r="AA74" s="3" t="str">
        <f t="shared" si="5"/>
        <v>OK</v>
      </c>
    </row>
    <row r="75" ht="15.75" customHeight="1">
      <c r="A75" s="3">
        <v>74.0</v>
      </c>
      <c r="B75" s="3" t="s">
        <v>15</v>
      </c>
      <c r="C75" s="7">
        <v>40.721749</v>
      </c>
      <c r="D75" s="7">
        <v>-74.03311</v>
      </c>
      <c r="E75" s="3">
        <v>0.0</v>
      </c>
      <c r="F75" s="3" t="s">
        <v>55</v>
      </c>
      <c r="G75" s="5">
        <f>(C75-'Pesos GPS'!$L$4)/'Pesos GPS'!$L$5</f>
        <v>1.003882572</v>
      </c>
      <c r="H75" s="5">
        <f>(D75-'Pesos GPS'!$L$6)/'Pesos GPS'!$L$7</f>
        <v>-1.000246343</v>
      </c>
      <c r="I75" s="5">
        <f>MAX(0,G75*'Pesos GPS'!B$6+H75*'Pesos GPS'!B$7+'Pesos GPS'!B$8)</f>
        <v>2.670696995</v>
      </c>
      <c r="J75" s="5">
        <f>MAX(0,G75*'Pesos GPS'!C$6+H75*'Pesos GPS'!C$7+'Pesos GPS'!C$8)</f>
        <v>0.3440347786</v>
      </c>
      <c r="K75" s="5">
        <f>MAX(0,G75*'Pesos GPS'!D$6+H75*'Pesos GPS'!D$7+'Pesos GPS'!D$8)</f>
        <v>0.4780867833</v>
      </c>
      <c r="L75" s="5">
        <f>MAX(0,G75*'Pesos GPS'!E$6+H75*'Pesos GPS'!E$7+'Pesos GPS'!E$8)</f>
        <v>1.793152011</v>
      </c>
      <c r="M75" s="5">
        <f>MAX(0,I75*'Pesos GPS'!B$13+J75*'Pesos GPS'!B$14+K75*'Pesos GPS'!B$15+L75*'Pesos GPS'!B$16+'Pesos GPS'!B$17)</f>
        <v>0</v>
      </c>
      <c r="N75" s="5">
        <f>MAX(0,I75*'Pesos GPS'!C$13+J75*'Pesos GPS'!C$14+K75*'Pesos GPS'!C$15+L75*'Pesos GPS'!C$16+'Pesos GPS'!C$17)</f>
        <v>0</v>
      </c>
      <c r="O75" s="5">
        <f>MAX(0,I75*'Pesos GPS'!D$13+J75*'Pesos GPS'!D$14+K75*'Pesos GPS'!D$15+L75*'Pesos GPS'!D$16+'Pesos GPS'!D$17)</f>
        <v>4.339056512</v>
      </c>
      <c r="P75" s="5">
        <f>MAX(0,I75*'Pesos GPS'!E$13+J75*'Pesos GPS'!E$14+K75*'Pesos GPS'!E$15+L75*'Pesos GPS'!E$16+'Pesos GPS'!E$17)</f>
        <v>3.455382601</v>
      </c>
      <c r="Q75" s="5">
        <f>MAX(0,I75*'Pesos GPS'!F$13+J75*'Pesos GPS'!F$14+K75*'Pesos GPS'!F$15+L75*'Pesos GPS'!F$16+'Pesos GPS'!F$17)</f>
        <v>0</v>
      </c>
      <c r="R75" s="5">
        <f>MAX(0,I75*'Pesos GPS'!G$13+J75*'Pesos GPS'!G$14+K75*'Pesos GPS'!G$15+L75*'Pesos GPS'!G$16+'Pesos GPS'!G$17)</f>
        <v>1.082073875</v>
      </c>
      <c r="S75" s="5">
        <f>MAX(0,I75*'Pesos GPS'!H$13+J75*'Pesos GPS'!H$14+K75*'Pesos GPS'!H$15+L75*'Pesos GPS'!H$16+'Pesos GPS'!H$17)</f>
        <v>0</v>
      </c>
      <c r="T75" s="5">
        <f>MAX(0,I75*'Pesos GPS'!I$13+J75*'Pesos GPS'!I$14+K75*'Pesos GPS'!I$15+L75*'Pesos GPS'!I$16+'Pesos GPS'!I$17)</f>
        <v>0</v>
      </c>
      <c r="U75" s="5">
        <f>M75*'Pesos GPS'!$B$22+N75*'Pesos GPS'!$B$23+O75*'Pesos GPS'!$B$24+P75*'Pesos GPS'!$B$25+Q75*'Pesos GPS'!$B$26+R75*'Pesos GPS'!$B$27+S75*'Pesos GPS'!$B$28+T75*'Pesos GPS'!$B$29+'Pesos GPS'!$B$30</f>
        <v>-4.20529261</v>
      </c>
      <c r="V75" s="5">
        <f t="shared" si="1"/>
        <v>0.01469719125</v>
      </c>
      <c r="W75" s="3">
        <f t="shared" si="2"/>
        <v>0</v>
      </c>
      <c r="X75" s="3">
        <f t="shared" si="3"/>
        <v>1</v>
      </c>
      <c r="Y75" s="9">
        <f t="shared" si="4"/>
        <v>0</v>
      </c>
      <c r="Z75" s="9">
        <v>0.014697191246836515</v>
      </c>
      <c r="AA75" s="3" t="str">
        <f t="shared" si="5"/>
        <v>OK</v>
      </c>
    </row>
    <row r="76" ht="15.75" customHeight="1">
      <c r="A76" s="3">
        <v>75.0</v>
      </c>
      <c r="B76" s="3" t="s">
        <v>15</v>
      </c>
      <c r="C76" s="7">
        <v>40.715364</v>
      </c>
      <c r="D76" s="7">
        <v>-74.003738</v>
      </c>
      <c r="E76" s="3">
        <v>0.0</v>
      </c>
      <c r="F76" s="3" t="s">
        <v>55</v>
      </c>
      <c r="G76" s="5">
        <f>(C76-'Pesos GPS'!$L$4)/'Pesos GPS'!$L$5</f>
        <v>1.00134643</v>
      </c>
      <c r="H76" s="5">
        <f>(D76-'Pesos GPS'!$L$6)/'Pesos GPS'!$L$7</f>
        <v>-0.9999713957</v>
      </c>
      <c r="I76" s="5">
        <f>MAX(0,G76*'Pesos GPS'!B$6+H76*'Pesos GPS'!B$7+'Pesos GPS'!B$8)</f>
        <v>2.669001056</v>
      </c>
      <c r="J76" s="5">
        <f>MAX(0,G76*'Pesos GPS'!C$6+H76*'Pesos GPS'!C$7+'Pesos GPS'!C$8)</f>
        <v>0.3462342381</v>
      </c>
      <c r="K76" s="5">
        <f>MAX(0,G76*'Pesos GPS'!D$6+H76*'Pesos GPS'!D$7+'Pesos GPS'!D$8)</f>
        <v>0.4763566077</v>
      </c>
      <c r="L76" s="5">
        <f>MAX(0,G76*'Pesos GPS'!E$6+H76*'Pesos GPS'!E$7+'Pesos GPS'!E$8)</f>
        <v>1.790181295</v>
      </c>
      <c r="M76" s="5">
        <f>MAX(0,I76*'Pesos GPS'!B$13+J76*'Pesos GPS'!B$14+K76*'Pesos GPS'!B$15+L76*'Pesos GPS'!B$16+'Pesos GPS'!B$17)</f>
        <v>0</v>
      </c>
      <c r="N76" s="5">
        <f>MAX(0,I76*'Pesos GPS'!C$13+J76*'Pesos GPS'!C$14+K76*'Pesos GPS'!C$15+L76*'Pesos GPS'!C$16+'Pesos GPS'!C$17)</f>
        <v>0</v>
      </c>
      <c r="O76" s="5">
        <f>MAX(0,I76*'Pesos GPS'!D$13+J76*'Pesos GPS'!D$14+K76*'Pesos GPS'!D$15+L76*'Pesos GPS'!D$16+'Pesos GPS'!D$17)</f>
        <v>4.336026411</v>
      </c>
      <c r="P76" s="5">
        <f>MAX(0,I76*'Pesos GPS'!E$13+J76*'Pesos GPS'!E$14+K76*'Pesos GPS'!E$15+L76*'Pesos GPS'!E$16+'Pesos GPS'!E$17)</f>
        <v>3.451141832</v>
      </c>
      <c r="Q76" s="5">
        <f>MAX(0,I76*'Pesos GPS'!F$13+J76*'Pesos GPS'!F$14+K76*'Pesos GPS'!F$15+L76*'Pesos GPS'!F$16+'Pesos GPS'!F$17)</f>
        <v>0</v>
      </c>
      <c r="R76" s="5">
        <f>MAX(0,I76*'Pesos GPS'!G$13+J76*'Pesos GPS'!G$14+K76*'Pesos GPS'!G$15+L76*'Pesos GPS'!G$16+'Pesos GPS'!G$17)</f>
        <v>1.080865112</v>
      </c>
      <c r="S76" s="5">
        <f>MAX(0,I76*'Pesos GPS'!H$13+J76*'Pesos GPS'!H$14+K76*'Pesos GPS'!H$15+L76*'Pesos GPS'!H$16+'Pesos GPS'!H$17)</f>
        <v>0</v>
      </c>
      <c r="T76" s="5">
        <f>MAX(0,I76*'Pesos GPS'!I$13+J76*'Pesos GPS'!I$14+K76*'Pesos GPS'!I$15+L76*'Pesos GPS'!I$16+'Pesos GPS'!I$17)</f>
        <v>0</v>
      </c>
      <c r="U76" s="5">
        <f>M76*'Pesos GPS'!$B$22+N76*'Pesos GPS'!$B$23+O76*'Pesos GPS'!$B$24+P76*'Pesos GPS'!$B$25+Q76*'Pesos GPS'!$B$26+R76*'Pesos GPS'!$B$27+S76*'Pesos GPS'!$B$28+T76*'Pesos GPS'!$B$29+'Pesos GPS'!$B$30</f>
        <v>-4.199661208</v>
      </c>
      <c r="V76" s="5">
        <f t="shared" si="1"/>
        <v>0.01477896387</v>
      </c>
      <c r="W76" s="3">
        <f t="shared" si="2"/>
        <v>0</v>
      </c>
      <c r="X76" s="3">
        <f t="shared" si="3"/>
        <v>1</v>
      </c>
      <c r="Y76" s="9">
        <f t="shared" si="4"/>
        <v>0</v>
      </c>
      <c r="Z76" s="9">
        <v>0.014778963873162246</v>
      </c>
      <c r="AA76" s="3" t="str">
        <f t="shared" si="5"/>
        <v>OK</v>
      </c>
    </row>
    <row r="77" ht="15.75" customHeight="1">
      <c r="A77" s="3">
        <v>76.0</v>
      </c>
      <c r="B77" s="3" t="s">
        <v>15</v>
      </c>
      <c r="C77" s="7">
        <v>40.725229</v>
      </c>
      <c r="D77" s="7">
        <v>-74.000294</v>
      </c>
      <c r="E77" s="3">
        <v>0.0</v>
      </c>
      <c r="F77" s="3" t="s">
        <v>55</v>
      </c>
      <c r="G77" s="5">
        <f>(C77-'Pesos GPS'!$L$4)/'Pesos GPS'!$L$5</f>
        <v>1.005264839</v>
      </c>
      <c r="H77" s="5">
        <f>(D77-'Pesos GPS'!$L$6)/'Pesos GPS'!$L$7</f>
        <v>-0.9999391568</v>
      </c>
      <c r="I77" s="5">
        <f>MAX(0,G77*'Pesos GPS'!B$6+H77*'Pesos GPS'!B$7+'Pesos GPS'!B$8)</f>
        <v>2.670666749</v>
      </c>
      <c r="J77" s="5">
        <f>MAX(0,G77*'Pesos GPS'!C$6+H77*'Pesos GPS'!C$7+'Pesos GPS'!C$8)</f>
        <v>0.3422278481</v>
      </c>
      <c r="K77" s="5">
        <f>MAX(0,G77*'Pesos GPS'!D$6+H77*'Pesos GPS'!D$7+'Pesos GPS'!D$8)</f>
        <v>0.4791106314</v>
      </c>
      <c r="L77" s="5">
        <f>MAX(0,G77*'Pesos GPS'!E$6+H77*'Pesos GPS'!E$7+'Pesos GPS'!E$8)</f>
        <v>1.794545565</v>
      </c>
      <c r="M77" s="5">
        <f>MAX(0,I77*'Pesos GPS'!B$13+J77*'Pesos GPS'!B$14+K77*'Pesos GPS'!B$15+L77*'Pesos GPS'!B$16+'Pesos GPS'!B$17)</f>
        <v>0</v>
      </c>
      <c r="N77" s="5">
        <f>MAX(0,I77*'Pesos GPS'!C$13+J77*'Pesos GPS'!C$14+K77*'Pesos GPS'!C$15+L77*'Pesos GPS'!C$16+'Pesos GPS'!C$17)</f>
        <v>0</v>
      </c>
      <c r="O77" s="5">
        <f>MAX(0,I77*'Pesos GPS'!D$13+J77*'Pesos GPS'!D$14+K77*'Pesos GPS'!D$15+L77*'Pesos GPS'!D$16+'Pesos GPS'!D$17)</f>
        <v>4.339228725</v>
      </c>
      <c r="P77" s="5">
        <f>MAX(0,I77*'Pesos GPS'!E$13+J77*'Pesos GPS'!E$14+K77*'Pesos GPS'!E$15+L77*'Pesos GPS'!E$16+'Pesos GPS'!E$17)</f>
        <v>3.456901466</v>
      </c>
      <c r="Q77" s="5">
        <f>MAX(0,I77*'Pesos GPS'!F$13+J77*'Pesos GPS'!F$14+K77*'Pesos GPS'!F$15+L77*'Pesos GPS'!F$16+'Pesos GPS'!F$17)</f>
        <v>0</v>
      </c>
      <c r="R77" s="5">
        <f>MAX(0,I77*'Pesos GPS'!G$13+J77*'Pesos GPS'!G$14+K77*'Pesos GPS'!G$15+L77*'Pesos GPS'!G$16+'Pesos GPS'!G$17)</f>
        <v>1.082412017</v>
      </c>
      <c r="S77" s="5">
        <f>MAX(0,I77*'Pesos GPS'!H$13+J77*'Pesos GPS'!H$14+K77*'Pesos GPS'!H$15+L77*'Pesos GPS'!H$16+'Pesos GPS'!H$17)</f>
        <v>0</v>
      </c>
      <c r="T77" s="5">
        <f>MAX(0,I77*'Pesos GPS'!I$13+J77*'Pesos GPS'!I$14+K77*'Pesos GPS'!I$15+L77*'Pesos GPS'!I$16+'Pesos GPS'!I$17)</f>
        <v>0</v>
      </c>
      <c r="U77" s="5">
        <f>M77*'Pesos GPS'!$B$22+N77*'Pesos GPS'!$B$23+O77*'Pesos GPS'!$B$24+P77*'Pesos GPS'!$B$25+Q77*'Pesos GPS'!$B$26+R77*'Pesos GPS'!$B$27+S77*'Pesos GPS'!$B$28+T77*'Pesos GPS'!$B$29+'Pesos GPS'!$B$30</f>
        <v>-4.206329193</v>
      </c>
      <c r="V77" s="5">
        <f t="shared" si="1"/>
        <v>0.01468218785</v>
      </c>
      <c r="W77" s="3">
        <f t="shared" si="2"/>
        <v>0</v>
      </c>
      <c r="X77" s="3">
        <f t="shared" si="3"/>
        <v>1</v>
      </c>
      <c r="Y77" s="9">
        <f t="shared" si="4"/>
        <v>0</v>
      </c>
      <c r="Z77" s="9">
        <v>0.01468218784934393</v>
      </c>
      <c r="AA77" s="3" t="str">
        <f t="shared" si="5"/>
        <v>OK</v>
      </c>
    </row>
    <row r="78" ht="15.75" customHeight="1">
      <c r="A78" s="3">
        <v>77.0</v>
      </c>
      <c r="B78" s="3" t="s">
        <v>15</v>
      </c>
      <c r="C78" s="7">
        <v>40.705109</v>
      </c>
      <c r="D78" s="7">
        <v>-73.943063</v>
      </c>
      <c r="E78" s="3">
        <v>0.0</v>
      </c>
      <c r="F78" s="3" t="s">
        <v>55</v>
      </c>
      <c r="G78" s="5">
        <f>(C78-'Pesos GPS'!$L$4)/'Pesos GPS'!$L$5</f>
        <v>0.9972731125</v>
      </c>
      <c r="H78" s="5">
        <f>(D78-'Pesos GPS'!$L$6)/'Pesos GPS'!$L$7</f>
        <v>-0.999403425</v>
      </c>
      <c r="I78" s="5">
        <f>MAX(0,G78*'Pesos GPS'!B$6+H78*'Pesos GPS'!B$7+'Pesos GPS'!B$8)</f>
        <v>2.666013246</v>
      </c>
      <c r="J78" s="5">
        <f>MAX(0,G78*'Pesos GPS'!C$6+H78*'Pesos GPS'!C$7+'Pesos GPS'!C$8)</f>
        <v>0.3495986452</v>
      </c>
      <c r="K78" s="5">
        <f>MAX(0,G78*'Pesos GPS'!D$6+H78*'Pesos GPS'!D$7+'Pesos GPS'!D$8)</f>
        <v>0.4736001159</v>
      </c>
      <c r="L78" s="5">
        <f>MAX(0,G78*'Pesos GPS'!E$6+H78*'Pesos GPS'!E$7+'Pesos GPS'!E$8)</f>
        <v>1.785347631</v>
      </c>
      <c r="M78" s="5">
        <f>MAX(0,I78*'Pesos GPS'!B$13+J78*'Pesos GPS'!B$14+K78*'Pesos GPS'!B$15+L78*'Pesos GPS'!B$16+'Pesos GPS'!B$17)</f>
        <v>0</v>
      </c>
      <c r="N78" s="5">
        <f>MAX(0,I78*'Pesos GPS'!C$13+J78*'Pesos GPS'!C$14+K78*'Pesos GPS'!C$15+L78*'Pesos GPS'!C$16+'Pesos GPS'!C$17)</f>
        <v>0</v>
      </c>
      <c r="O78" s="5">
        <f>MAX(0,I78*'Pesos GPS'!D$13+J78*'Pesos GPS'!D$14+K78*'Pesos GPS'!D$15+L78*'Pesos GPS'!D$16+'Pesos GPS'!D$17)</f>
        <v>4.33075071</v>
      </c>
      <c r="P78" s="5">
        <f>MAX(0,I78*'Pesos GPS'!E$13+J78*'Pesos GPS'!E$14+K78*'Pesos GPS'!E$15+L78*'Pesos GPS'!E$16+'Pesos GPS'!E$17)</f>
        <v>3.444111574</v>
      </c>
      <c r="Q78" s="5">
        <f>MAX(0,I78*'Pesos GPS'!F$13+J78*'Pesos GPS'!F$14+K78*'Pesos GPS'!F$15+L78*'Pesos GPS'!F$16+'Pesos GPS'!F$17)</f>
        <v>0</v>
      </c>
      <c r="R78" s="5">
        <f>MAX(0,I78*'Pesos GPS'!G$13+J78*'Pesos GPS'!G$14+K78*'Pesos GPS'!G$15+L78*'Pesos GPS'!G$16+'Pesos GPS'!G$17)</f>
        <v>1.078835041</v>
      </c>
      <c r="S78" s="5">
        <f>MAX(0,I78*'Pesos GPS'!H$13+J78*'Pesos GPS'!H$14+K78*'Pesos GPS'!H$15+L78*'Pesos GPS'!H$16+'Pesos GPS'!H$17)</f>
        <v>0.0005533147442</v>
      </c>
      <c r="T78" s="5">
        <f>MAX(0,I78*'Pesos GPS'!I$13+J78*'Pesos GPS'!I$14+K78*'Pesos GPS'!I$15+L78*'Pesos GPS'!I$16+'Pesos GPS'!I$17)</f>
        <v>0</v>
      </c>
      <c r="U78" s="5">
        <f>M78*'Pesos GPS'!$B$22+N78*'Pesos GPS'!$B$23+O78*'Pesos GPS'!$B$24+P78*'Pesos GPS'!$B$25+Q78*'Pesos GPS'!$B$26+R78*'Pesos GPS'!$B$27+S78*'Pesos GPS'!$B$28+T78*'Pesos GPS'!$B$29+'Pesos GPS'!$B$30</f>
        <v>-4.189883211</v>
      </c>
      <c r="V78" s="5">
        <f t="shared" si="1"/>
        <v>0.01492201441</v>
      </c>
      <c r="W78" s="3">
        <f t="shared" si="2"/>
        <v>0</v>
      </c>
      <c r="X78" s="3">
        <f t="shared" si="3"/>
        <v>1</v>
      </c>
      <c r="Y78" s="9">
        <f t="shared" si="4"/>
        <v>0</v>
      </c>
      <c r="Z78" s="9">
        <v>0.014922014410456094</v>
      </c>
      <c r="AA78" s="3" t="str">
        <f t="shared" si="5"/>
        <v>OK</v>
      </c>
    </row>
    <row r="79" ht="15.75" customHeight="1">
      <c r="A79" s="3">
        <v>78.0</v>
      </c>
      <c r="B79" s="3" t="s">
        <v>15</v>
      </c>
      <c r="C79" s="7">
        <v>40.715654</v>
      </c>
      <c r="D79" s="7">
        <v>-73.959079</v>
      </c>
      <c r="E79" s="3">
        <v>0.0</v>
      </c>
      <c r="F79" s="3" t="s">
        <v>55</v>
      </c>
      <c r="G79" s="5">
        <f>(C79-'Pesos GPS'!$L$4)/'Pesos GPS'!$L$5</f>
        <v>1.001461619</v>
      </c>
      <c r="H79" s="5">
        <f>(D79-'Pesos GPS'!$L$6)/'Pesos GPS'!$L$7</f>
        <v>-0.9995533487</v>
      </c>
      <c r="I79" s="5">
        <f>MAX(0,G79*'Pesos GPS'!B$6+H79*'Pesos GPS'!B$7+'Pesos GPS'!B$8)</f>
        <v>2.668178864</v>
      </c>
      <c r="J79" s="5">
        <f>MAX(0,G79*'Pesos GPS'!C$6+H79*'Pesos GPS'!C$7+'Pesos GPS'!C$8)</f>
        <v>0.3455614457</v>
      </c>
      <c r="K79" s="5">
        <f>MAX(0,G79*'Pesos GPS'!D$6+H79*'Pesos GPS'!D$7+'Pesos GPS'!D$8)</f>
        <v>0.4765113564</v>
      </c>
      <c r="L79" s="5">
        <f>MAX(0,G79*'Pesos GPS'!E$6+H79*'Pesos GPS'!E$7+'Pesos GPS'!E$8)</f>
        <v>1.790103734</v>
      </c>
      <c r="M79" s="5">
        <f>MAX(0,I79*'Pesos GPS'!B$13+J79*'Pesos GPS'!B$14+K79*'Pesos GPS'!B$15+L79*'Pesos GPS'!B$16+'Pesos GPS'!B$17)</f>
        <v>0</v>
      </c>
      <c r="N79" s="5">
        <f>MAX(0,I79*'Pesos GPS'!C$13+J79*'Pesos GPS'!C$14+K79*'Pesos GPS'!C$15+L79*'Pesos GPS'!C$16+'Pesos GPS'!C$17)</f>
        <v>0</v>
      </c>
      <c r="O79" s="5">
        <f>MAX(0,I79*'Pesos GPS'!D$13+J79*'Pesos GPS'!D$14+K79*'Pesos GPS'!D$15+L79*'Pesos GPS'!D$16+'Pesos GPS'!D$17)</f>
        <v>4.334770549</v>
      </c>
      <c r="P79" s="5">
        <f>MAX(0,I79*'Pesos GPS'!E$13+J79*'Pesos GPS'!E$14+K79*'Pesos GPS'!E$15+L79*'Pesos GPS'!E$16+'Pesos GPS'!E$17)</f>
        <v>3.450587931</v>
      </c>
      <c r="Q79" s="5">
        <f>MAX(0,I79*'Pesos GPS'!F$13+J79*'Pesos GPS'!F$14+K79*'Pesos GPS'!F$15+L79*'Pesos GPS'!F$16+'Pesos GPS'!F$17)</f>
        <v>0</v>
      </c>
      <c r="R79" s="5">
        <f>MAX(0,I79*'Pesos GPS'!G$13+J79*'Pesos GPS'!G$14+K79*'Pesos GPS'!G$15+L79*'Pesos GPS'!G$16+'Pesos GPS'!G$17)</f>
        <v>1.080617942</v>
      </c>
      <c r="S79" s="5">
        <f>MAX(0,I79*'Pesos GPS'!H$13+J79*'Pesos GPS'!H$14+K79*'Pesos GPS'!H$15+L79*'Pesos GPS'!H$16+'Pesos GPS'!H$17)</f>
        <v>0</v>
      </c>
      <c r="T79" s="5">
        <f>MAX(0,I79*'Pesos GPS'!I$13+J79*'Pesos GPS'!I$14+K79*'Pesos GPS'!I$15+L79*'Pesos GPS'!I$16+'Pesos GPS'!I$17)</f>
        <v>0</v>
      </c>
      <c r="U79" s="5">
        <f>M79*'Pesos GPS'!$B$22+N79*'Pesos GPS'!$B$23+O79*'Pesos GPS'!$B$24+P79*'Pesos GPS'!$B$25+Q79*'Pesos GPS'!$B$26+R79*'Pesos GPS'!$B$27+S79*'Pesos GPS'!$B$28+T79*'Pesos GPS'!$B$29+'Pesos GPS'!$B$30</f>
        <v>-4.198002178</v>
      </c>
      <c r="V79" s="5">
        <f t="shared" si="1"/>
        <v>0.01480313972</v>
      </c>
      <c r="W79" s="3">
        <f t="shared" si="2"/>
        <v>0</v>
      </c>
      <c r="X79" s="3">
        <f t="shared" si="3"/>
        <v>1</v>
      </c>
      <c r="Y79" s="9">
        <f t="shared" si="4"/>
        <v>0</v>
      </c>
      <c r="Z79" s="9">
        <v>0.014803139723919844</v>
      </c>
      <c r="AA79" s="3" t="str">
        <f t="shared" si="5"/>
        <v>OK</v>
      </c>
    </row>
    <row r="80" ht="15.75" customHeight="1">
      <c r="A80" s="3">
        <v>79.0</v>
      </c>
      <c r="B80" s="3" t="s">
        <v>15</v>
      </c>
      <c r="C80" s="7">
        <v>40.724061</v>
      </c>
      <c r="D80" s="7">
        <v>-74.027331</v>
      </c>
      <c r="E80" s="3">
        <v>0.0</v>
      </c>
      <c r="F80" s="3" t="s">
        <v>55</v>
      </c>
      <c r="G80" s="5">
        <f>(C80-'Pesos GPS'!$L$4)/'Pesos GPS'!$L$5</f>
        <v>1.004800906</v>
      </c>
      <c r="H80" s="5">
        <f>(D80-'Pesos GPS'!$L$6)/'Pesos GPS'!$L$7</f>
        <v>-1.000192247</v>
      </c>
      <c r="I80" s="5">
        <f>MAX(0,G80*'Pesos GPS'!B$6+H80*'Pesos GPS'!B$7+'Pesos GPS'!B$8)</f>
        <v>2.670990168</v>
      </c>
      <c r="J80" s="5">
        <f>MAX(0,G80*'Pesos GPS'!C$6+H80*'Pesos GPS'!C$7+'Pesos GPS'!C$8)</f>
        <v>0.3430338954</v>
      </c>
      <c r="K80" s="5">
        <f>MAX(0,G80*'Pesos GPS'!D$6+H80*'Pesos GPS'!D$7+'Pesos GPS'!D$8)</f>
        <v>0.4787404606</v>
      </c>
      <c r="L80" s="5">
        <f>MAX(0,G80*'Pesos GPS'!E$6+H80*'Pesos GPS'!E$7+'Pesos GPS'!E$8)</f>
        <v>1.794151869</v>
      </c>
      <c r="M80" s="5">
        <f>MAX(0,I80*'Pesos GPS'!B$13+J80*'Pesos GPS'!B$14+K80*'Pesos GPS'!B$15+L80*'Pesos GPS'!B$16+'Pesos GPS'!B$17)</f>
        <v>0</v>
      </c>
      <c r="N80" s="5">
        <f>MAX(0,I80*'Pesos GPS'!C$13+J80*'Pesos GPS'!C$14+K80*'Pesos GPS'!C$15+L80*'Pesos GPS'!C$16+'Pesos GPS'!C$17)</f>
        <v>0</v>
      </c>
      <c r="O80" s="5">
        <f>MAX(0,I80*'Pesos GPS'!D$13+J80*'Pesos GPS'!D$14+K80*'Pesos GPS'!D$15+L80*'Pesos GPS'!D$16+'Pesos GPS'!D$17)</f>
        <v>4.339656383</v>
      </c>
      <c r="P80" s="5">
        <f>MAX(0,I80*'Pesos GPS'!E$13+J80*'Pesos GPS'!E$14+K80*'Pesos GPS'!E$15+L80*'Pesos GPS'!E$16+'Pesos GPS'!E$17)</f>
        <v>3.456651753</v>
      </c>
      <c r="Q80" s="5">
        <f>MAX(0,I80*'Pesos GPS'!F$13+J80*'Pesos GPS'!F$14+K80*'Pesos GPS'!F$15+L80*'Pesos GPS'!F$16+'Pesos GPS'!F$17)</f>
        <v>0</v>
      </c>
      <c r="R80" s="5">
        <f>MAX(0,I80*'Pesos GPS'!G$13+J80*'Pesos GPS'!G$14+K80*'Pesos GPS'!G$15+L80*'Pesos GPS'!G$16+'Pesos GPS'!G$17)</f>
        <v>1.082403759</v>
      </c>
      <c r="S80" s="5">
        <f>MAX(0,I80*'Pesos GPS'!H$13+J80*'Pesos GPS'!H$14+K80*'Pesos GPS'!H$15+L80*'Pesos GPS'!H$16+'Pesos GPS'!H$17)</f>
        <v>0</v>
      </c>
      <c r="T80" s="5">
        <f>MAX(0,I80*'Pesos GPS'!I$13+J80*'Pesos GPS'!I$14+K80*'Pesos GPS'!I$15+L80*'Pesos GPS'!I$16+'Pesos GPS'!I$17)</f>
        <v>0</v>
      </c>
      <c r="U80" s="5">
        <f>M80*'Pesos GPS'!$B$22+N80*'Pesos GPS'!$B$23+O80*'Pesos GPS'!$B$24+P80*'Pesos GPS'!$B$25+Q80*'Pesos GPS'!$B$26+R80*'Pesos GPS'!$B$27+S80*'Pesos GPS'!$B$28+T80*'Pesos GPS'!$B$29+'Pesos GPS'!$B$30</f>
        <v>-4.206648355</v>
      </c>
      <c r="V80" s="5">
        <f t="shared" si="1"/>
        <v>0.01467757137</v>
      </c>
      <c r="W80" s="3">
        <f t="shared" si="2"/>
        <v>0</v>
      </c>
      <c r="X80" s="3">
        <f t="shared" si="3"/>
        <v>1</v>
      </c>
      <c r="Y80" s="9">
        <f t="shared" si="4"/>
        <v>0</v>
      </c>
      <c r="Z80" s="9">
        <v>0.014677571371678461</v>
      </c>
      <c r="AA80" s="3" t="str">
        <f t="shared" si="5"/>
        <v>OK</v>
      </c>
    </row>
    <row r="81" ht="15.75" customHeight="1">
      <c r="A81" s="3">
        <v>80.0</v>
      </c>
      <c r="B81" s="3" t="s">
        <v>15</v>
      </c>
      <c r="C81" s="7">
        <v>40.707232</v>
      </c>
      <c r="D81" s="7">
        <v>-74.013185</v>
      </c>
      <c r="E81" s="3">
        <v>0.0</v>
      </c>
      <c r="F81" s="3" t="s">
        <v>55</v>
      </c>
      <c r="G81" s="5">
        <f>(C81-'Pesos GPS'!$L$4)/'Pesos GPS'!$L$5</f>
        <v>0.9981163747</v>
      </c>
      <c r="H81" s="5">
        <f>(D81-'Pesos GPS'!$L$6)/'Pesos GPS'!$L$7</f>
        <v>-1.000059828</v>
      </c>
      <c r="I81" s="5">
        <f>MAX(0,G81*'Pesos GPS'!B$6+H81*'Pesos GPS'!B$7+'Pesos GPS'!B$8)</f>
        <v>2.667757173</v>
      </c>
      <c r="J81" s="5">
        <f>MAX(0,G81*'Pesos GPS'!C$6+H81*'Pesos GPS'!C$7+'Pesos GPS'!C$8)</f>
        <v>0.3496191296</v>
      </c>
      <c r="K81" s="5">
        <f>MAX(0,G81*'Pesos GPS'!D$6+H81*'Pesos GPS'!D$7+'Pesos GPS'!D$8)</f>
        <v>0.4740754447</v>
      </c>
      <c r="L81" s="5">
        <f>MAX(0,G81*'Pesos GPS'!E$6+H81*'Pesos GPS'!E$7+'Pesos GPS'!E$8)</f>
        <v>1.786614232</v>
      </c>
      <c r="M81" s="5">
        <f>MAX(0,I81*'Pesos GPS'!B$13+J81*'Pesos GPS'!B$14+K81*'Pesos GPS'!B$15+L81*'Pesos GPS'!B$16+'Pesos GPS'!B$17)</f>
        <v>0</v>
      </c>
      <c r="N81" s="5">
        <f>MAX(0,I81*'Pesos GPS'!C$13+J81*'Pesos GPS'!C$14+K81*'Pesos GPS'!C$15+L81*'Pesos GPS'!C$16+'Pesos GPS'!C$17)</f>
        <v>0</v>
      </c>
      <c r="O81" s="5">
        <f>MAX(0,I81*'Pesos GPS'!D$13+J81*'Pesos GPS'!D$14+K81*'Pesos GPS'!D$15+L81*'Pesos GPS'!D$16+'Pesos GPS'!D$17)</f>
        <v>4.333586861</v>
      </c>
      <c r="P81" s="5">
        <f>MAX(0,I81*'Pesos GPS'!E$13+J81*'Pesos GPS'!E$14+K81*'Pesos GPS'!E$15+L81*'Pesos GPS'!E$16+'Pesos GPS'!E$17)</f>
        <v>3.446501257</v>
      </c>
      <c r="Q81" s="5">
        <f>MAX(0,I81*'Pesos GPS'!F$13+J81*'Pesos GPS'!F$14+K81*'Pesos GPS'!F$15+L81*'Pesos GPS'!F$16+'Pesos GPS'!F$17)</f>
        <v>0</v>
      </c>
      <c r="R81" s="5">
        <f>MAX(0,I81*'Pesos GPS'!G$13+J81*'Pesos GPS'!G$14+K81*'Pesos GPS'!G$15+L81*'Pesos GPS'!G$16+'Pesos GPS'!G$17)</f>
        <v>1.079633353</v>
      </c>
      <c r="S81" s="5">
        <f>MAX(0,I81*'Pesos GPS'!H$13+J81*'Pesos GPS'!H$14+K81*'Pesos GPS'!H$15+L81*'Pesos GPS'!H$16+'Pesos GPS'!H$17)</f>
        <v>0.0006075597582</v>
      </c>
      <c r="T81" s="5">
        <f>MAX(0,I81*'Pesos GPS'!I$13+J81*'Pesos GPS'!I$14+K81*'Pesos GPS'!I$15+L81*'Pesos GPS'!I$16+'Pesos GPS'!I$17)</f>
        <v>0</v>
      </c>
      <c r="U81" s="5">
        <f>M81*'Pesos GPS'!$B$22+N81*'Pesos GPS'!$B$23+O81*'Pesos GPS'!$B$24+P81*'Pesos GPS'!$B$25+Q81*'Pesos GPS'!$B$26+R81*'Pesos GPS'!$B$27+S81*'Pesos GPS'!$B$28+T81*'Pesos GPS'!$B$29+'Pesos GPS'!$B$30</f>
        <v>-4.19425161</v>
      </c>
      <c r="V81" s="5">
        <f t="shared" si="1"/>
        <v>0.01485793768</v>
      </c>
      <c r="W81" s="3">
        <f t="shared" si="2"/>
        <v>0</v>
      </c>
      <c r="X81" s="3">
        <f t="shared" si="3"/>
        <v>1</v>
      </c>
      <c r="Y81" s="9">
        <f t="shared" si="4"/>
        <v>0</v>
      </c>
      <c r="Z81" s="9">
        <v>0.014857937678367997</v>
      </c>
      <c r="AA81" s="3" t="str">
        <f t="shared" si="5"/>
        <v>OK</v>
      </c>
    </row>
    <row r="82" ht="15.75" customHeight="1">
      <c r="A82" s="3">
        <v>81.0</v>
      </c>
      <c r="B82" s="3" t="s">
        <v>15</v>
      </c>
      <c r="C82" s="7">
        <v>40.721022</v>
      </c>
      <c r="D82" s="7">
        <v>-74.042586</v>
      </c>
      <c r="E82" s="3">
        <v>0.0</v>
      </c>
      <c r="F82" s="3" t="s">
        <v>55</v>
      </c>
      <c r="G82" s="5">
        <f>(C82-'Pesos GPS'!$L$4)/'Pesos GPS'!$L$5</f>
        <v>1.003593806</v>
      </c>
      <c r="H82" s="5">
        <f>(D82-'Pesos GPS'!$L$6)/'Pesos GPS'!$L$7</f>
        <v>-1.000335047</v>
      </c>
      <c r="I82" s="5">
        <f>MAX(0,G82*'Pesos GPS'!B$6+H82*'Pesos GPS'!B$7+'Pesos GPS'!B$8)</f>
        <v>2.670754547</v>
      </c>
      <c r="J82" s="5">
        <f>MAX(0,G82*'Pesos GPS'!C$6+H82*'Pesos GPS'!C$7+'Pesos GPS'!C$8)</f>
        <v>0.3444449019</v>
      </c>
      <c r="K82" s="5">
        <f>MAX(0,G82*'Pesos GPS'!D$6+H82*'Pesos GPS'!D$7+'Pesos GPS'!D$8)</f>
        <v>0.4778685536</v>
      </c>
      <c r="L82" s="5">
        <f>MAX(0,G82*'Pesos GPS'!E$6+H82*'Pesos GPS'!E$7+'Pesos GPS'!E$8)</f>
        <v>1.792872994</v>
      </c>
      <c r="M82" s="5">
        <f>MAX(0,I82*'Pesos GPS'!B$13+J82*'Pesos GPS'!B$14+K82*'Pesos GPS'!B$15+L82*'Pesos GPS'!B$16+'Pesos GPS'!B$17)</f>
        <v>0</v>
      </c>
      <c r="N82" s="5">
        <f>MAX(0,I82*'Pesos GPS'!C$13+J82*'Pesos GPS'!C$14+K82*'Pesos GPS'!C$15+L82*'Pesos GPS'!C$16+'Pesos GPS'!C$17)</f>
        <v>0</v>
      </c>
      <c r="O82" s="5">
        <f>MAX(0,I82*'Pesos GPS'!D$13+J82*'Pesos GPS'!D$14+K82*'Pesos GPS'!D$15+L82*'Pesos GPS'!D$16+'Pesos GPS'!D$17)</f>
        <v>4.33909993</v>
      </c>
      <c r="P82" s="5">
        <f>MAX(0,I82*'Pesos GPS'!E$13+J82*'Pesos GPS'!E$14+K82*'Pesos GPS'!E$15+L82*'Pesos GPS'!E$16+'Pesos GPS'!E$17)</f>
        <v>3.455107831</v>
      </c>
      <c r="Q82" s="5">
        <f>MAX(0,I82*'Pesos GPS'!F$13+J82*'Pesos GPS'!F$14+K82*'Pesos GPS'!F$15+L82*'Pesos GPS'!F$16+'Pesos GPS'!F$17)</f>
        <v>0</v>
      </c>
      <c r="R82" s="5">
        <f>MAX(0,I82*'Pesos GPS'!G$13+J82*'Pesos GPS'!G$14+K82*'Pesos GPS'!G$15+L82*'Pesos GPS'!G$16+'Pesos GPS'!G$17)</f>
        <v>1.082020444</v>
      </c>
      <c r="S82" s="5">
        <f>MAX(0,I82*'Pesos GPS'!H$13+J82*'Pesos GPS'!H$14+K82*'Pesos GPS'!H$15+L82*'Pesos GPS'!H$16+'Pesos GPS'!H$17)</f>
        <v>0</v>
      </c>
      <c r="T82" s="5">
        <f>MAX(0,I82*'Pesos GPS'!I$13+J82*'Pesos GPS'!I$14+K82*'Pesos GPS'!I$15+L82*'Pesos GPS'!I$16+'Pesos GPS'!I$17)</f>
        <v>0</v>
      </c>
      <c r="U82" s="5">
        <f>M82*'Pesos GPS'!$B$22+N82*'Pesos GPS'!$B$23+O82*'Pesos GPS'!$B$24+P82*'Pesos GPS'!$B$25+Q82*'Pesos GPS'!$B$26+R82*'Pesos GPS'!$B$27+S82*'Pesos GPS'!$B$28+T82*'Pesos GPS'!$B$29+'Pesos GPS'!$B$30</f>
        <v>-4.205185156</v>
      </c>
      <c r="V82" s="5">
        <f t="shared" si="1"/>
        <v>0.01469874739</v>
      </c>
      <c r="W82" s="3">
        <f t="shared" si="2"/>
        <v>0</v>
      </c>
      <c r="X82" s="3">
        <f t="shared" si="3"/>
        <v>1</v>
      </c>
      <c r="Y82" s="9">
        <f t="shared" si="4"/>
        <v>0</v>
      </c>
      <c r="Z82" s="9">
        <v>0.014698747385580805</v>
      </c>
      <c r="AA82" s="3" t="str">
        <f t="shared" si="5"/>
        <v>OK</v>
      </c>
    </row>
    <row r="83" ht="15.75" customHeight="1">
      <c r="A83" s="3">
        <v>82.0</v>
      </c>
      <c r="B83" s="3" t="s">
        <v>15</v>
      </c>
      <c r="C83" s="7">
        <v>40.700885</v>
      </c>
      <c r="D83" s="7">
        <v>-74.020768</v>
      </c>
      <c r="E83" s="3">
        <v>0.0</v>
      </c>
      <c r="F83" s="3" t="s">
        <v>55</v>
      </c>
      <c r="G83" s="5">
        <f>(C83-'Pesos GPS'!$L$4)/'Pesos GPS'!$L$5</f>
        <v>0.9955953266</v>
      </c>
      <c r="H83" s="5">
        <f>(D83-'Pesos GPS'!$L$6)/'Pesos GPS'!$L$7</f>
        <v>-1.000130811</v>
      </c>
      <c r="I83" s="5">
        <f>MAX(0,G83*'Pesos GPS'!B$6+H83*'Pesos GPS'!B$7+'Pesos GPS'!B$8)</f>
        <v>2.666790425</v>
      </c>
      <c r="J83" s="5">
        <f>MAX(0,G83*'Pesos GPS'!C$6+H83*'Pesos GPS'!C$7+'Pesos GPS'!C$8)</f>
        <v>0.352263638</v>
      </c>
      <c r="K83" s="5">
        <f>MAX(0,G83*'Pesos GPS'!D$6+H83*'Pesos GPS'!D$7+'Pesos GPS'!D$8)</f>
        <v>0.472294657</v>
      </c>
      <c r="L83" s="5">
        <f>MAX(0,G83*'Pesos GPS'!E$6+H83*'Pesos GPS'!E$7+'Pesos GPS'!E$8)</f>
        <v>1.783831119</v>
      </c>
      <c r="M83" s="5">
        <f>MAX(0,I83*'Pesos GPS'!B$13+J83*'Pesos GPS'!B$14+K83*'Pesos GPS'!B$15+L83*'Pesos GPS'!B$16+'Pesos GPS'!B$17)</f>
        <v>0</v>
      </c>
      <c r="N83" s="5">
        <f>MAX(0,I83*'Pesos GPS'!C$13+J83*'Pesos GPS'!C$14+K83*'Pesos GPS'!C$15+L83*'Pesos GPS'!C$16+'Pesos GPS'!C$17)</f>
        <v>0</v>
      </c>
      <c r="O83" s="5">
        <f>MAX(0,I83*'Pesos GPS'!D$13+J83*'Pesos GPS'!D$14+K83*'Pesos GPS'!D$15+L83*'Pesos GPS'!D$16+'Pesos GPS'!D$17)</f>
        <v>4.331689152</v>
      </c>
      <c r="P83" s="5">
        <f>MAX(0,I83*'Pesos GPS'!E$13+J83*'Pesos GPS'!E$14+K83*'Pesos GPS'!E$15+L83*'Pesos GPS'!E$16+'Pesos GPS'!E$17)</f>
        <v>3.442882706</v>
      </c>
      <c r="Q83" s="5">
        <f>MAX(0,I83*'Pesos GPS'!F$13+J83*'Pesos GPS'!F$14+K83*'Pesos GPS'!F$15+L83*'Pesos GPS'!F$16+'Pesos GPS'!F$17)</f>
        <v>0</v>
      </c>
      <c r="R83" s="5">
        <f>MAX(0,I83*'Pesos GPS'!G$13+J83*'Pesos GPS'!G$14+K83*'Pesos GPS'!G$15+L83*'Pesos GPS'!G$16+'Pesos GPS'!G$17)</f>
        <v>1.078673347</v>
      </c>
      <c r="S83" s="5">
        <f>MAX(0,I83*'Pesos GPS'!H$13+J83*'Pesos GPS'!H$14+K83*'Pesos GPS'!H$15+L83*'Pesos GPS'!H$16+'Pesos GPS'!H$17)</f>
        <v>0.002046155635</v>
      </c>
      <c r="T83" s="5">
        <f>MAX(0,I83*'Pesos GPS'!I$13+J83*'Pesos GPS'!I$14+K83*'Pesos GPS'!I$15+L83*'Pesos GPS'!I$16+'Pesos GPS'!I$17)</f>
        <v>0</v>
      </c>
      <c r="U83" s="5">
        <f>M83*'Pesos GPS'!$B$22+N83*'Pesos GPS'!$B$23+O83*'Pesos GPS'!$B$24+P83*'Pesos GPS'!$B$25+Q83*'Pesos GPS'!$B$26+R83*'Pesos GPS'!$B$27+S83*'Pesos GPS'!$B$28+T83*'Pesos GPS'!$B$29+'Pesos GPS'!$B$30</f>
        <v>-4.189739593</v>
      </c>
      <c r="V83" s="5">
        <f t="shared" si="1"/>
        <v>0.01492412566</v>
      </c>
      <c r="W83" s="3">
        <f t="shared" si="2"/>
        <v>0</v>
      </c>
      <c r="X83" s="3">
        <f t="shared" si="3"/>
        <v>1</v>
      </c>
      <c r="Y83" s="9">
        <f t="shared" si="4"/>
        <v>0</v>
      </c>
      <c r="Z83" s="9">
        <v>0.014924125656766499</v>
      </c>
      <c r="AA83" s="3" t="str">
        <f t="shared" si="5"/>
        <v>OK</v>
      </c>
    </row>
    <row r="84" ht="15.75" customHeight="1">
      <c r="A84" s="3">
        <v>83.0</v>
      </c>
      <c r="B84" s="3" t="s">
        <v>15</v>
      </c>
      <c r="C84" s="7">
        <v>40.706265</v>
      </c>
      <c r="D84" s="7">
        <v>-73.99811</v>
      </c>
      <c r="E84" s="3">
        <v>0.0</v>
      </c>
      <c r="F84" s="3" t="s">
        <v>55</v>
      </c>
      <c r="G84" s="5">
        <f>(C84-'Pesos GPS'!$L$4)/'Pesos GPS'!$L$5</f>
        <v>0.9977322793</v>
      </c>
      <c r="H84" s="5">
        <f>(D84-'Pesos GPS'!$L$6)/'Pesos GPS'!$L$7</f>
        <v>-0.9999187127</v>
      </c>
      <c r="I84" s="5">
        <f>MAX(0,G84*'Pesos GPS'!B$6+H84*'Pesos GPS'!B$7+'Pesos GPS'!B$8)</f>
        <v>2.667292561</v>
      </c>
      <c r="J84" s="5">
        <f>MAX(0,G84*'Pesos GPS'!C$6+H84*'Pesos GPS'!C$7+'Pesos GPS'!C$8)</f>
        <v>0.349819868</v>
      </c>
      <c r="K84" s="5">
        <f>MAX(0,G84*'Pesos GPS'!D$6+H84*'Pesos GPS'!D$7+'Pesos GPS'!D$8)</f>
        <v>0.4738310099</v>
      </c>
      <c r="L84" s="5">
        <f>MAX(0,G84*'Pesos GPS'!E$6+H84*'Pesos GPS'!E$7+'Pesos GPS'!E$8)</f>
        <v>1.786115226</v>
      </c>
      <c r="M84" s="5">
        <f>MAX(0,I84*'Pesos GPS'!B$13+J84*'Pesos GPS'!B$14+K84*'Pesos GPS'!B$15+L84*'Pesos GPS'!B$16+'Pesos GPS'!B$17)</f>
        <v>0</v>
      </c>
      <c r="N84" s="5">
        <f>MAX(0,I84*'Pesos GPS'!C$13+J84*'Pesos GPS'!C$14+K84*'Pesos GPS'!C$15+L84*'Pesos GPS'!C$16+'Pesos GPS'!C$17)</f>
        <v>0</v>
      </c>
      <c r="O84" s="5">
        <f>MAX(0,I84*'Pesos GPS'!D$13+J84*'Pesos GPS'!D$14+K84*'Pesos GPS'!D$15+L84*'Pesos GPS'!D$16+'Pesos GPS'!D$17)</f>
        <v>4.332805993</v>
      </c>
      <c r="P84" s="5">
        <f>MAX(0,I84*'Pesos GPS'!E$13+J84*'Pesos GPS'!E$14+K84*'Pesos GPS'!E$15+L84*'Pesos GPS'!E$16+'Pesos GPS'!E$17)</f>
        <v>3.445686517</v>
      </c>
      <c r="Q84" s="5">
        <f>MAX(0,I84*'Pesos GPS'!F$13+J84*'Pesos GPS'!F$14+K84*'Pesos GPS'!F$15+L84*'Pesos GPS'!F$16+'Pesos GPS'!F$17)</f>
        <v>0</v>
      </c>
      <c r="R84" s="5">
        <f>MAX(0,I84*'Pesos GPS'!G$13+J84*'Pesos GPS'!G$14+K84*'Pesos GPS'!G$15+L84*'Pesos GPS'!G$16+'Pesos GPS'!G$17)</f>
        <v>1.079380495</v>
      </c>
      <c r="S84" s="5">
        <f>MAX(0,I84*'Pesos GPS'!H$13+J84*'Pesos GPS'!H$14+K84*'Pesos GPS'!H$15+L84*'Pesos GPS'!H$16+'Pesos GPS'!H$17)</f>
        <v>0.0007071322242</v>
      </c>
      <c r="T84" s="5">
        <f>MAX(0,I84*'Pesos GPS'!I$13+J84*'Pesos GPS'!I$14+K84*'Pesos GPS'!I$15+L84*'Pesos GPS'!I$16+'Pesos GPS'!I$17)</f>
        <v>0</v>
      </c>
      <c r="U84" s="5">
        <f>M84*'Pesos GPS'!$B$22+N84*'Pesos GPS'!$B$23+O84*'Pesos GPS'!$B$24+P84*'Pesos GPS'!$B$25+Q84*'Pesos GPS'!$B$26+R84*'Pesos GPS'!$B$27+S84*'Pesos GPS'!$B$28+T84*'Pesos GPS'!$B$29+'Pesos GPS'!$B$30</f>
        <v>-4.192925501</v>
      </c>
      <c r="V84" s="5">
        <f t="shared" si="1"/>
        <v>0.01487736067</v>
      </c>
      <c r="W84" s="3">
        <f t="shared" si="2"/>
        <v>0</v>
      </c>
      <c r="X84" s="3">
        <f t="shared" si="3"/>
        <v>1</v>
      </c>
      <c r="Y84" s="9">
        <f t="shared" si="4"/>
        <v>0</v>
      </c>
      <c r="Z84" s="9">
        <v>0.014877360665739768</v>
      </c>
      <c r="AA84" s="3" t="str">
        <f t="shared" si="5"/>
        <v>OK</v>
      </c>
    </row>
    <row r="85" ht="15.75" customHeight="1">
      <c r="A85" s="3">
        <v>84.0</v>
      </c>
      <c r="B85" s="3" t="s">
        <v>15</v>
      </c>
      <c r="C85" s="7">
        <v>40.705929</v>
      </c>
      <c r="D85" s="7">
        <v>-73.975854</v>
      </c>
      <c r="E85" s="3">
        <v>0.0</v>
      </c>
      <c r="F85" s="3" t="s">
        <v>55</v>
      </c>
      <c r="G85" s="5">
        <f>(C85-'Pesos GPS'!$L$4)/'Pesos GPS'!$L$5</f>
        <v>0.9975988191</v>
      </c>
      <c r="H85" s="5">
        <f>(D85-'Pesos GPS'!$L$6)/'Pesos GPS'!$L$7</f>
        <v>-0.9997103772</v>
      </c>
      <c r="I85" s="5">
        <f>MAX(0,G85*'Pesos GPS'!B$6+H85*'Pesos GPS'!B$7+'Pesos GPS'!B$8)</f>
        <v>2.666798403</v>
      </c>
      <c r="J85" s="5">
        <f>MAX(0,G85*'Pesos GPS'!C$6+H85*'Pesos GPS'!C$7+'Pesos GPS'!C$8)</f>
        <v>0.3496776402</v>
      </c>
      <c r="K85" s="5">
        <f>MAX(0,G85*'Pesos GPS'!D$6+H85*'Pesos GPS'!D$7+'Pesos GPS'!D$8)</f>
        <v>0.4737742593</v>
      </c>
      <c r="L85" s="5">
        <f>MAX(0,G85*'Pesos GPS'!E$6+H85*'Pesos GPS'!E$7+'Pesos GPS'!E$8)</f>
        <v>1.785863215</v>
      </c>
      <c r="M85" s="5">
        <f>MAX(0,I85*'Pesos GPS'!B$13+J85*'Pesos GPS'!B$14+K85*'Pesos GPS'!B$15+L85*'Pesos GPS'!B$16+'Pesos GPS'!B$17)</f>
        <v>0</v>
      </c>
      <c r="N85" s="5">
        <f>MAX(0,I85*'Pesos GPS'!C$13+J85*'Pesos GPS'!C$14+K85*'Pesos GPS'!C$15+L85*'Pesos GPS'!C$16+'Pesos GPS'!C$17)</f>
        <v>0</v>
      </c>
      <c r="O85" s="5">
        <f>MAX(0,I85*'Pesos GPS'!D$13+J85*'Pesos GPS'!D$14+K85*'Pesos GPS'!D$15+L85*'Pesos GPS'!D$16+'Pesos GPS'!D$17)</f>
        <v>4.332019061</v>
      </c>
      <c r="P85" s="5">
        <f>MAX(0,I85*'Pesos GPS'!E$13+J85*'Pesos GPS'!E$14+K85*'Pesos GPS'!E$15+L85*'Pesos GPS'!E$16+'Pesos GPS'!E$17)</f>
        <v>3.445127204</v>
      </c>
      <c r="Q85" s="5">
        <f>MAX(0,I85*'Pesos GPS'!F$13+J85*'Pesos GPS'!F$14+K85*'Pesos GPS'!F$15+L85*'Pesos GPS'!F$16+'Pesos GPS'!F$17)</f>
        <v>0</v>
      </c>
      <c r="R85" s="5">
        <f>MAX(0,I85*'Pesos GPS'!G$13+J85*'Pesos GPS'!G$14+K85*'Pesos GPS'!G$15+L85*'Pesos GPS'!G$16+'Pesos GPS'!G$17)</f>
        <v>1.079180865</v>
      </c>
      <c r="S85" s="5">
        <f>MAX(0,I85*'Pesos GPS'!H$13+J85*'Pesos GPS'!H$14+K85*'Pesos GPS'!H$15+L85*'Pesos GPS'!H$16+'Pesos GPS'!H$17)</f>
        <v>0.0006163205886</v>
      </c>
      <c r="T85" s="5">
        <f>MAX(0,I85*'Pesos GPS'!I$13+J85*'Pesos GPS'!I$14+K85*'Pesos GPS'!I$15+L85*'Pesos GPS'!I$16+'Pesos GPS'!I$17)</f>
        <v>0</v>
      </c>
      <c r="U85" s="5">
        <f>M85*'Pesos GPS'!$B$22+N85*'Pesos GPS'!$B$23+O85*'Pesos GPS'!$B$24+P85*'Pesos GPS'!$B$25+Q85*'Pesos GPS'!$B$26+R85*'Pesos GPS'!$B$27+S85*'Pesos GPS'!$B$28+T85*'Pesos GPS'!$B$29+'Pesos GPS'!$B$30</f>
        <v>-4.19179505</v>
      </c>
      <c r="V85" s="5">
        <f t="shared" si="1"/>
        <v>0.01489393767</v>
      </c>
      <c r="W85" s="3">
        <f t="shared" si="2"/>
        <v>0</v>
      </c>
      <c r="X85" s="3">
        <f t="shared" si="3"/>
        <v>1</v>
      </c>
      <c r="Y85" s="9">
        <f t="shared" si="4"/>
        <v>0</v>
      </c>
      <c r="Z85" s="9">
        <v>0.014893937671959965</v>
      </c>
      <c r="AA85" s="3" t="str">
        <f t="shared" si="5"/>
        <v>OK</v>
      </c>
    </row>
    <row r="86" ht="15.75" customHeight="1">
      <c r="A86" s="3">
        <v>85.0</v>
      </c>
      <c r="B86" s="3" t="s">
        <v>15</v>
      </c>
      <c r="C86" s="7">
        <v>40.691275</v>
      </c>
      <c r="D86" s="7">
        <v>-74.024227</v>
      </c>
      <c r="E86" s="3">
        <v>0.0</v>
      </c>
      <c r="F86" s="3" t="s">
        <v>55</v>
      </c>
      <c r="G86" s="5">
        <f>(C86-'Pesos GPS'!$L$4)/'Pesos GPS'!$L$5</f>
        <v>0.9917782046</v>
      </c>
      <c r="H86" s="5">
        <f>(D86-'Pesos GPS'!$L$6)/'Pesos GPS'!$L$7</f>
        <v>-1.00016319</v>
      </c>
      <c r="I86" s="5">
        <f>MAX(0,G86*'Pesos GPS'!B$6+H86*'Pesos GPS'!B$7+'Pesos GPS'!B$8)</f>
        <v>2.665169822</v>
      </c>
      <c r="J86" s="5">
        <f>MAX(0,G86*'Pesos GPS'!C$6+H86*'Pesos GPS'!C$7+'Pesos GPS'!C$8)</f>
        <v>0.3561677627</v>
      </c>
      <c r="K86" s="5">
        <f>MAX(0,G86*'Pesos GPS'!D$6+H86*'Pesos GPS'!D$7+'Pesos GPS'!D$8)</f>
        <v>0.4696116498</v>
      </c>
      <c r="L86" s="5">
        <f>MAX(0,G86*'Pesos GPS'!E$6+H86*'Pesos GPS'!E$7+'Pesos GPS'!E$8)</f>
        <v>1.779580142</v>
      </c>
      <c r="M86" s="5">
        <f>MAX(0,I86*'Pesos GPS'!B$13+J86*'Pesos GPS'!B$14+K86*'Pesos GPS'!B$15+L86*'Pesos GPS'!B$16+'Pesos GPS'!B$17)</f>
        <v>0</v>
      </c>
      <c r="N86" s="5">
        <f>MAX(0,I86*'Pesos GPS'!C$13+J86*'Pesos GPS'!C$14+K86*'Pesos GPS'!C$15+L86*'Pesos GPS'!C$16+'Pesos GPS'!C$17)</f>
        <v>0</v>
      </c>
      <c r="O86" s="5">
        <f>MAX(0,I86*'Pesos GPS'!D$13+J86*'Pesos GPS'!D$14+K86*'Pesos GPS'!D$15+L86*'Pesos GPS'!D$16+'Pesos GPS'!D$17)</f>
        <v>4.328572767</v>
      </c>
      <c r="P86" s="5">
        <f>MAX(0,I86*'Pesos GPS'!E$13+J86*'Pesos GPS'!E$14+K86*'Pesos GPS'!E$15+L86*'Pesos GPS'!E$16+'Pesos GPS'!E$17)</f>
        <v>3.437273641</v>
      </c>
      <c r="Q86" s="5">
        <f>MAX(0,I86*'Pesos GPS'!F$13+J86*'Pesos GPS'!F$14+K86*'Pesos GPS'!F$15+L86*'Pesos GPS'!F$16+'Pesos GPS'!F$17)</f>
        <v>0</v>
      </c>
      <c r="R86" s="5">
        <f>MAX(0,I86*'Pesos GPS'!G$13+J86*'Pesos GPS'!G$14+K86*'Pesos GPS'!G$15+L86*'Pesos GPS'!G$16+'Pesos GPS'!G$17)</f>
        <v>1.077167111</v>
      </c>
      <c r="S86" s="5">
        <f>MAX(0,I86*'Pesos GPS'!H$13+J86*'Pesos GPS'!H$14+K86*'Pesos GPS'!H$15+L86*'Pesos GPS'!H$16+'Pesos GPS'!H$17)</f>
        <v>0.004165215911</v>
      </c>
      <c r="T86" s="5">
        <f>MAX(0,I86*'Pesos GPS'!I$13+J86*'Pesos GPS'!I$14+K86*'Pesos GPS'!I$15+L86*'Pesos GPS'!I$16+'Pesos GPS'!I$17)</f>
        <v>0</v>
      </c>
      <c r="U86" s="5">
        <f>M86*'Pesos GPS'!$B$22+N86*'Pesos GPS'!$B$23+O86*'Pesos GPS'!$B$24+P86*'Pesos GPS'!$B$25+Q86*'Pesos GPS'!$B$26+R86*'Pesos GPS'!$B$27+S86*'Pesos GPS'!$B$28+T86*'Pesos GPS'!$B$29+'Pesos GPS'!$B$30</f>
        <v>-4.182592252</v>
      </c>
      <c r="V86" s="5">
        <f t="shared" si="1"/>
        <v>0.01502956666</v>
      </c>
      <c r="W86" s="3">
        <f t="shared" si="2"/>
        <v>0</v>
      </c>
      <c r="X86" s="3">
        <f t="shared" si="3"/>
        <v>1</v>
      </c>
      <c r="Y86" s="9">
        <f t="shared" si="4"/>
        <v>0</v>
      </c>
      <c r="Z86" s="9">
        <v>0.015029566664074047</v>
      </c>
      <c r="AA86" s="3" t="str">
        <f t="shared" si="5"/>
        <v>OK</v>
      </c>
    </row>
    <row r="87" ht="15.75" customHeight="1">
      <c r="A87" s="3">
        <v>86.0</v>
      </c>
      <c r="B87" s="3" t="s">
        <v>15</v>
      </c>
      <c r="C87" s="7">
        <v>40.721566</v>
      </c>
      <c r="D87" s="7">
        <v>-74.022354</v>
      </c>
      <c r="E87" s="3">
        <v>0.0</v>
      </c>
      <c r="F87" s="3" t="s">
        <v>55</v>
      </c>
      <c r="G87" s="5">
        <f>(C87-'Pesos GPS'!$L$4)/'Pesos GPS'!$L$5</f>
        <v>1.003809884</v>
      </c>
      <c r="H87" s="5">
        <f>(D87-'Pesos GPS'!$L$6)/'Pesos GPS'!$L$7</f>
        <v>-1.000145658</v>
      </c>
      <c r="I87" s="5">
        <f>MAX(0,G87*'Pesos GPS'!B$6+H87*'Pesos GPS'!B$7+'Pesos GPS'!B$8)</f>
        <v>2.670454554</v>
      </c>
      <c r="J87" s="5">
        <f>MAX(0,G87*'Pesos GPS'!C$6+H87*'Pesos GPS'!C$7+'Pesos GPS'!C$8)</f>
        <v>0.343974325</v>
      </c>
      <c r="K87" s="5">
        <f>MAX(0,G87*'Pesos GPS'!D$6+H87*'Pesos GPS'!D$7+'Pesos GPS'!D$8)</f>
        <v>0.478053613</v>
      </c>
      <c r="L87" s="5">
        <f>MAX(0,G87*'Pesos GPS'!E$6+H87*'Pesos GPS'!E$7+'Pesos GPS'!E$8)</f>
        <v>1.793021065</v>
      </c>
      <c r="M87" s="5">
        <f>MAX(0,I87*'Pesos GPS'!B$13+J87*'Pesos GPS'!B$14+K87*'Pesos GPS'!B$15+L87*'Pesos GPS'!B$16+'Pesos GPS'!B$17)</f>
        <v>0</v>
      </c>
      <c r="N87" s="5">
        <f>MAX(0,I87*'Pesos GPS'!C$13+J87*'Pesos GPS'!C$14+K87*'Pesos GPS'!C$15+L87*'Pesos GPS'!C$16+'Pesos GPS'!C$17)</f>
        <v>0</v>
      </c>
      <c r="O87" s="5">
        <f>MAX(0,I87*'Pesos GPS'!D$13+J87*'Pesos GPS'!D$14+K87*'Pesos GPS'!D$15+L87*'Pesos GPS'!D$16+'Pesos GPS'!D$17)</f>
        <v>4.338669289</v>
      </c>
      <c r="P87" s="5">
        <f>MAX(0,I87*'Pesos GPS'!E$13+J87*'Pesos GPS'!E$14+K87*'Pesos GPS'!E$15+L87*'Pesos GPS'!E$16+'Pesos GPS'!E$17)</f>
        <v>3.45510014</v>
      </c>
      <c r="Q87" s="5">
        <f>MAX(0,I87*'Pesos GPS'!F$13+J87*'Pesos GPS'!F$14+K87*'Pesos GPS'!F$15+L87*'Pesos GPS'!F$16+'Pesos GPS'!F$17)</f>
        <v>0</v>
      </c>
      <c r="R87" s="5">
        <f>MAX(0,I87*'Pesos GPS'!G$13+J87*'Pesos GPS'!G$14+K87*'Pesos GPS'!G$15+L87*'Pesos GPS'!G$16+'Pesos GPS'!G$17)</f>
        <v>1.081974117</v>
      </c>
      <c r="S87" s="5">
        <f>MAX(0,I87*'Pesos GPS'!H$13+J87*'Pesos GPS'!H$14+K87*'Pesos GPS'!H$15+L87*'Pesos GPS'!H$16+'Pesos GPS'!H$17)</f>
        <v>0</v>
      </c>
      <c r="T87" s="5">
        <f>MAX(0,I87*'Pesos GPS'!I$13+J87*'Pesos GPS'!I$14+K87*'Pesos GPS'!I$15+L87*'Pesos GPS'!I$16+'Pesos GPS'!I$17)</f>
        <v>0</v>
      </c>
      <c r="U87" s="5">
        <f>M87*'Pesos GPS'!$B$22+N87*'Pesos GPS'!$B$23+O87*'Pesos GPS'!$B$24+P87*'Pesos GPS'!$B$25+Q87*'Pesos GPS'!$B$26+R87*'Pesos GPS'!$B$27+S87*'Pesos GPS'!$B$28+T87*'Pesos GPS'!$B$29+'Pesos GPS'!$B$30</f>
        <v>-4.204718458</v>
      </c>
      <c r="V87" s="5">
        <f t="shared" si="1"/>
        <v>0.01470550797</v>
      </c>
      <c r="W87" s="3">
        <f t="shared" si="2"/>
        <v>0</v>
      </c>
      <c r="X87" s="3">
        <f t="shared" si="3"/>
        <v>1</v>
      </c>
      <c r="Y87" s="9">
        <f t="shared" si="4"/>
        <v>0</v>
      </c>
      <c r="Z87" s="9">
        <v>0.014705507970735273</v>
      </c>
      <c r="AA87" s="3" t="str">
        <f t="shared" si="5"/>
        <v>OK</v>
      </c>
    </row>
    <row r="88" ht="15.75" customHeight="1">
      <c r="A88" s="3">
        <v>87.0</v>
      </c>
      <c r="B88" s="3" t="s">
        <v>15</v>
      </c>
      <c r="C88" s="7">
        <v>40.704351</v>
      </c>
      <c r="D88" s="7">
        <v>-74.059682</v>
      </c>
      <c r="E88" s="3">
        <v>0.0</v>
      </c>
      <c r="F88" s="3" t="s">
        <v>55</v>
      </c>
      <c r="G88" s="5">
        <f>(C88-'Pesos GPS'!$L$4)/'Pesos GPS'!$L$5</f>
        <v>0.9969720326</v>
      </c>
      <c r="H88" s="5">
        <f>(D88-'Pesos GPS'!$L$6)/'Pesos GPS'!$L$7</f>
        <v>-1.00049508</v>
      </c>
      <c r="I88" s="5">
        <f>MAX(0,G88*'Pesos GPS'!B$6+H88*'Pesos GPS'!B$7+'Pesos GPS'!B$8)</f>
        <v>2.668160128</v>
      </c>
      <c r="J88" s="5">
        <f>MAX(0,G88*'Pesos GPS'!C$6+H88*'Pesos GPS'!C$7+'Pesos GPS'!C$8)</f>
        <v>0.3513558104</v>
      </c>
      <c r="K88" s="5">
        <f>MAX(0,G88*'Pesos GPS'!D$6+H88*'Pesos GPS'!D$7+'Pesos GPS'!D$8)</f>
        <v>0.4731958177</v>
      </c>
      <c r="L88" s="5">
        <f>MAX(0,G88*'Pesos GPS'!E$6+H88*'Pesos GPS'!E$7+'Pesos GPS'!E$8)</f>
        <v>1.785549848</v>
      </c>
      <c r="M88" s="5">
        <f>MAX(0,I88*'Pesos GPS'!B$13+J88*'Pesos GPS'!B$14+K88*'Pesos GPS'!B$15+L88*'Pesos GPS'!B$16+'Pesos GPS'!B$17)</f>
        <v>0</v>
      </c>
      <c r="N88" s="5">
        <f>MAX(0,I88*'Pesos GPS'!C$13+J88*'Pesos GPS'!C$14+K88*'Pesos GPS'!C$15+L88*'Pesos GPS'!C$16+'Pesos GPS'!C$17)</f>
        <v>0</v>
      </c>
      <c r="O88" s="5">
        <f>MAX(0,I88*'Pesos GPS'!D$13+J88*'Pesos GPS'!D$14+K88*'Pesos GPS'!D$15+L88*'Pesos GPS'!D$16+'Pesos GPS'!D$17)</f>
        <v>4.334029932</v>
      </c>
      <c r="P88" s="5">
        <f>MAX(0,I88*'Pesos GPS'!E$13+J88*'Pesos GPS'!E$14+K88*'Pesos GPS'!E$15+L88*'Pesos GPS'!E$16+'Pesos GPS'!E$17)</f>
        <v>3.445557566</v>
      </c>
      <c r="Q88" s="5">
        <f>MAX(0,I88*'Pesos GPS'!F$13+J88*'Pesos GPS'!F$14+K88*'Pesos GPS'!F$15+L88*'Pesos GPS'!F$16+'Pesos GPS'!F$17)</f>
        <v>0</v>
      </c>
      <c r="R88" s="5">
        <f>MAX(0,I88*'Pesos GPS'!G$13+J88*'Pesos GPS'!G$14+K88*'Pesos GPS'!G$15+L88*'Pesos GPS'!G$16+'Pesos GPS'!G$17)</f>
        <v>1.079480365</v>
      </c>
      <c r="S88" s="5">
        <f>MAX(0,I88*'Pesos GPS'!H$13+J88*'Pesos GPS'!H$14+K88*'Pesos GPS'!H$15+L88*'Pesos GPS'!H$16+'Pesos GPS'!H$17)</f>
        <v>0.001577843711</v>
      </c>
      <c r="T88" s="5">
        <f>MAX(0,I88*'Pesos GPS'!I$13+J88*'Pesos GPS'!I$14+K88*'Pesos GPS'!I$15+L88*'Pesos GPS'!I$16+'Pesos GPS'!I$17)</f>
        <v>0</v>
      </c>
      <c r="U88" s="5">
        <f>M88*'Pesos GPS'!$B$22+N88*'Pesos GPS'!$B$23+O88*'Pesos GPS'!$B$24+P88*'Pesos GPS'!$B$25+Q88*'Pesos GPS'!$B$26+R88*'Pesos GPS'!$B$27+S88*'Pesos GPS'!$B$28+T88*'Pesos GPS'!$B$29+'Pesos GPS'!$B$30</f>
        <v>-4.193897791</v>
      </c>
      <c r="V88" s="5">
        <f t="shared" si="1"/>
        <v>0.01486311748</v>
      </c>
      <c r="W88" s="3">
        <f t="shared" si="2"/>
        <v>0</v>
      </c>
      <c r="X88" s="3">
        <f t="shared" si="3"/>
        <v>1</v>
      </c>
      <c r="Y88" s="9">
        <f t="shared" si="4"/>
        <v>0</v>
      </c>
      <c r="Z88" s="9">
        <v>0.01486311747722177</v>
      </c>
      <c r="AA88" s="3" t="str">
        <f t="shared" si="5"/>
        <v>OK</v>
      </c>
    </row>
    <row r="89" ht="15.75" customHeight="1">
      <c r="A89" s="3">
        <v>88.0</v>
      </c>
      <c r="B89" s="3" t="s">
        <v>15</v>
      </c>
      <c r="C89" s="7">
        <v>40.713025</v>
      </c>
      <c r="D89" s="7">
        <v>-74.010067</v>
      </c>
      <c r="E89" s="3">
        <v>0.0</v>
      </c>
      <c r="F89" s="3" t="s">
        <v>55</v>
      </c>
      <c r="G89" s="5">
        <f>(C89-'Pesos GPS'!$L$4)/'Pesos GPS'!$L$5</f>
        <v>1.000417372</v>
      </c>
      <c r="H89" s="5">
        <f>(D89-'Pesos GPS'!$L$6)/'Pesos GPS'!$L$7</f>
        <v>-1.000030641</v>
      </c>
      <c r="I89" s="5">
        <f>MAX(0,G89*'Pesos GPS'!B$6+H89*'Pesos GPS'!B$7+'Pesos GPS'!B$8)</f>
        <v>2.668713894</v>
      </c>
      <c r="J89" s="5">
        <f>MAX(0,G89*'Pesos GPS'!C$6+H89*'Pesos GPS'!C$7+'Pesos GPS'!C$8)</f>
        <v>0.3472528201</v>
      </c>
      <c r="K89" s="5">
        <f>MAX(0,G89*'Pesos GPS'!D$6+H89*'Pesos GPS'!D$7+'Pesos GPS'!D$8)</f>
        <v>0.4756944976</v>
      </c>
      <c r="L89" s="5">
        <f>MAX(0,G89*'Pesos GPS'!E$6+H89*'Pesos GPS'!E$7+'Pesos GPS'!E$8)</f>
        <v>1.78917199</v>
      </c>
      <c r="M89" s="5">
        <f>MAX(0,I89*'Pesos GPS'!B$13+J89*'Pesos GPS'!B$14+K89*'Pesos GPS'!B$15+L89*'Pesos GPS'!B$16+'Pesos GPS'!B$17)</f>
        <v>0</v>
      </c>
      <c r="N89" s="5">
        <f>MAX(0,I89*'Pesos GPS'!C$13+J89*'Pesos GPS'!C$14+K89*'Pesos GPS'!C$15+L89*'Pesos GPS'!C$16+'Pesos GPS'!C$17)</f>
        <v>0</v>
      </c>
      <c r="O89" s="5">
        <f>MAX(0,I89*'Pesos GPS'!D$13+J89*'Pesos GPS'!D$14+K89*'Pesos GPS'!D$15+L89*'Pesos GPS'!D$16+'Pesos GPS'!D$17)</f>
        <v>4.335434154</v>
      </c>
      <c r="P89" s="5">
        <f>MAX(0,I89*'Pesos GPS'!E$13+J89*'Pesos GPS'!E$14+K89*'Pesos GPS'!E$15+L89*'Pesos GPS'!E$16+'Pesos GPS'!E$17)</f>
        <v>3.44986569</v>
      </c>
      <c r="Q89" s="5">
        <f>MAX(0,I89*'Pesos GPS'!F$13+J89*'Pesos GPS'!F$14+K89*'Pesos GPS'!F$15+L89*'Pesos GPS'!F$16+'Pesos GPS'!F$17)</f>
        <v>0</v>
      </c>
      <c r="R89" s="5">
        <f>MAX(0,I89*'Pesos GPS'!G$13+J89*'Pesos GPS'!G$14+K89*'Pesos GPS'!G$15+L89*'Pesos GPS'!G$16+'Pesos GPS'!G$17)</f>
        <v>1.080534543</v>
      </c>
      <c r="S89" s="5">
        <f>MAX(0,I89*'Pesos GPS'!H$13+J89*'Pesos GPS'!H$14+K89*'Pesos GPS'!H$15+L89*'Pesos GPS'!H$16+'Pesos GPS'!H$17)</f>
        <v>0</v>
      </c>
      <c r="T89" s="5">
        <f>MAX(0,I89*'Pesos GPS'!I$13+J89*'Pesos GPS'!I$14+K89*'Pesos GPS'!I$15+L89*'Pesos GPS'!I$16+'Pesos GPS'!I$17)</f>
        <v>0</v>
      </c>
      <c r="U89" s="5">
        <f>M89*'Pesos GPS'!$B$22+N89*'Pesos GPS'!$B$23+O89*'Pesos GPS'!$B$24+P89*'Pesos GPS'!$B$25+Q89*'Pesos GPS'!$B$26+R89*'Pesos GPS'!$B$27+S89*'Pesos GPS'!$B$28+T89*'Pesos GPS'!$B$29+'Pesos GPS'!$B$30</f>
        <v>-4.198309719</v>
      </c>
      <c r="V89" s="5">
        <f t="shared" si="1"/>
        <v>0.0147986552</v>
      </c>
      <c r="W89" s="3">
        <f t="shared" si="2"/>
        <v>0</v>
      </c>
      <c r="X89" s="3">
        <f t="shared" si="3"/>
        <v>1</v>
      </c>
      <c r="Y89" s="9">
        <f t="shared" si="4"/>
        <v>0</v>
      </c>
      <c r="Z89" s="9">
        <v>0.01479865520295374</v>
      </c>
      <c r="AA89" s="3" t="str">
        <f t="shared" si="5"/>
        <v>OK</v>
      </c>
    </row>
    <row r="90" ht="15.75" customHeight="1">
      <c r="A90" s="3">
        <v>89.0</v>
      </c>
      <c r="B90" s="3" t="s">
        <v>15</v>
      </c>
      <c r="C90" s="7">
        <v>40.721453</v>
      </c>
      <c r="D90" s="7">
        <v>-74.03256</v>
      </c>
      <c r="E90" s="3">
        <v>0.0</v>
      </c>
      <c r="F90" s="3" t="s">
        <v>55</v>
      </c>
      <c r="G90" s="5">
        <f>(C90-'Pesos GPS'!$L$4)/'Pesos GPS'!$L$5</f>
        <v>1.003765</v>
      </c>
      <c r="H90" s="5">
        <f>(D90-'Pesos GPS'!$L$6)/'Pesos GPS'!$L$7</f>
        <v>-1.000241195</v>
      </c>
      <c r="I90" s="5">
        <f>MAX(0,G90*'Pesos GPS'!B$6+H90*'Pesos GPS'!B$7+'Pesos GPS'!B$8)</f>
        <v>2.670634242</v>
      </c>
      <c r="J90" s="5">
        <f>MAX(0,G90*'Pesos GPS'!C$6+H90*'Pesos GPS'!C$7+'Pesos GPS'!C$8)</f>
        <v>0.3441468526</v>
      </c>
      <c r="K90" s="5">
        <f>MAX(0,G90*'Pesos GPS'!D$6+H90*'Pesos GPS'!D$7+'Pesos GPS'!D$8)</f>
        <v>0.4780052306</v>
      </c>
      <c r="L90" s="5">
        <f>MAX(0,G90*'Pesos GPS'!E$6+H90*'Pesos GPS'!E$7+'Pesos GPS'!E$8)</f>
        <v>1.793018043</v>
      </c>
      <c r="M90" s="5">
        <f>MAX(0,I90*'Pesos GPS'!B$13+J90*'Pesos GPS'!B$14+K90*'Pesos GPS'!B$15+L90*'Pesos GPS'!B$16+'Pesos GPS'!B$17)</f>
        <v>0</v>
      </c>
      <c r="N90" s="5">
        <f>MAX(0,I90*'Pesos GPS'!C$13+J90*'Pesos GPS'!C$14+K90*'Pesos GPS'!C$15+L90*'Pesos GPS'!C$16+'Pesos GPS'!C$17)</f>
        <v>0</v>
      </c>
      <c r="O90" s="5">
        <f>MAX(0,I90*'Pesos GPS'!D$13+J90*'Pesos GPS'!D$14+K90*'Pesos GPS'!D$15+L90*'Pesos GPS'!D$16+'Pesos GPS'!D$17)</f>
        <v>4.338940632</v>
      </c>
      <c r="P90" s="5">
        <f>MAX(0,I90*'Pesos GPS'!E$13+J90*'Pesos GPS'!E$14+K90*'Pesos GPS'!E$15+L90*'Pesos GPS'!E$16+'Pesos GPS'!E$17)</f>
        <v>3.455199179</v>
      </c>
      <c r="Q90" s="5">
        <f>MAX(0,I90*'Pesos GPS'!F$13+J90*'Pesos GPS'!F$14+K90*'Pesos GPS'!F$15+L90*'Pesos GPS'!F$16+'Pesos GPS'!F$17)</f>
        <v>0</v>
      </c>
      <c r="R90" s="5">
        <f>MAX(0,I90*'Pesos GPS'!G$13+J90*'Pesos GPS'!G$14+K90*'Pesos GPS'!G$15+L90*'Pesos GPS'!G$16+'Pesos GPS'!G$17)</f>
        <v>1.082023169</v>
      </c>
      <c r="S90" s="5">
        <f>MAX(0,I90*'Pesos GPS'!H$13+J90*'Pesos GPS'!H$14+K90*'Pesos GPS'!H$15+L90*'Pesos GPS'!H$16+'Pesos GPS'!H$17)</f>
        <v>0</v>
      </c>
      <c r="T90" s="5">
        <f>MAX(0,I90*'Pesos GPS'!I$13+J90*'Pesos GPS'!I$14+K90*'Pesos GPS'!I$15+L90*'Pesos GPS'!I$16+'Pesos GPS'!I$17)</f>
        <v>0</v>
      </c>
      <c r="U90" s="5">
        <f>M90*'Pesos GPS'!$B$22+N90*'Pesos GPS'!$B$23+O90*'Pesos GPS'!$B$24+P90*'Pesos GPS'!$B$25+Q90*'Pesos GPS'!$B$26+R90*'Pesos GPS'!$B$27+S90*'Pesos GPS'!$B$28+T90*'Pesos GPS'!$B$29+'Pesos GPS'!$B$30</f>
        <v>-4.205065337</v>
      </c>
      <c r="V90" s="5">
        <f t="shared" si="1"/>
        <v>0.0147004828</v>
      </c>
      <c r="W90" s="3">
        <f t="shared" si="2"/>
        <v>0</v>
      </c>
      <c r="X90" s="3">
        <f t="shared" si="3"/>
        <v>1</v>
      </c>
      <c r="Y90" s="9">
        <f t="shared" si="4"/>
        <v>0</v>
      </c>
      <c r="Z90" s="9">
        <v>0.014700482797331152</v>
      </c>
      <c r="AA90" s="3" t="str">
        <f t="shared" si="5"/>
        <v>OK</v>
      </c>
    </row>
    <row r="91" ht="15.75" customHeight="1">
      <c r="A91" s="3">
        <v>90.0</v>
      </c>
      <c r="B91" s="3" t="s">
        <v>15</v>
      </c>
      <c r="C91" s="7">
        <v>40.720838</v>
      </c>
      <c r="D91" s="7">
        <v>-74.019236</v>
      </c>
      <c r="E91" s="3">
        <v>0.0</v>
      </c>
      <c r="F91" s="3" t="s">
        <v>55</v>
      </c>
      <c r="G91" s="5">
        <f>(C91-'Pesos GPS'!$L$4)/'Pesos GPS'!$L$5</f>
        <v>1.00352072</v>
      </c>
      <c r="H91" s="5">
        <f>(D91-'Pesos GPS'!$L$6)/'Pesos GPS'!$L$7</f>
        <v>-1.00011647</v>
      </c>
      <c r="I91" s="5">
        <f>MAX(0,G91*'Pesos GPS'!B$6+H91*'Pesos GPS'!B$7+'Pesos GPS'!B$8)</f>
        <v>2.670265702</v>
      </c>
      <c r="J91" s="5">
        <f>MAX(0,G91*'Pesos GPS'!C$6+H91*'Pesos GPS'!C$7+'Pesos GPS'!C$8)</f>
        <v>0.3442279775</v>
      </c>
      <c r="K91" s="5">
        <f>MAX(0,G91*'Pesos GPS'!D$6+H91*'Pesos GPS'!D$7+'Pesos GPS'!D$8)</f>
        <v>0.4778559608</v>
      </c>
      <c r="L91" s="5">
        <f>MAX(0,G91*'Pesos GPS'!E$6+H91*'Pesos GPS'!E$7+'Pesos GPS'!E$8)</f>
        <v>1.792683419</v>
      </c>
      <c r="M91" s="5">
        <f>MAX(0,I91*'Pesos GPS'!B$13+J91*'Pesos GPS'!B$14+K91*'Pesos GPS'!B$15+L91*'Pesos GPS'!B$16+'Pesos GPS'!B$17)</f>
        <v>0</v>
      </c>
      <c r="N91" s="5">
        <f>MAX(0,I91*'Pesos GPS'!C$13+J91*'Pesos GPS'!C$14+K91*'Pesos GPS'!C$15+L91*'Pesos GPS'!C$16+'Pesos GPS'!C$17)</f>
        <v>0</v>
      </c>
      <c r="O91" s="5">
        <f>MAX(0,I91*'Pesos GPS'!D$13+J91*'Pesos GPS'!D$14+K91*'Pesos GPS'!D$15+L91*'Pesos GPS'!D$16+'Pesos GPS'!D$17)</f>
        <v>4.338330802</v>
      </c>
      <c r="P91" s="5">
        <f>MAX(0,I91*'Pesos GPS'!E$13+J91*'Pesos GPS'!E$14+K91*'Pesos GPS'!E$15+L91*'Pesos GPS'!E$16+'Pesos GPS'!E$17)</f>
        <v>3.454620367</v>
      </c>
      <c r="Q91" s="5">
        <f>MAX(0,I91*'Pesos GPS'!F$13+J91*'Pesos GPS'!F$14+K91*'Pesos GPS'!F$15+L91*'Pesos GPS'!F$16+'Pesos GPS'!F$17)</f>
        <v>0</v>
      </c>
      <c r="R91" s="5">
        <f>MAX(0,I91*'Pesos GPS'!G$13+J91*'Pesos GPS'!G$14+K91*'Pesos GPS'!G$15+L91*'Pesos GPS'!G$16+'Pesos GPS'!G$17)</f>
        <v>1.081837813</v>
      </c>
      <c r="S91" s="5">
        <f>MAX(0,I91*'Pesos GPS'!H$13+J91*'Pesos GPS'!H$14+K91*'Pesos GPS'!H$15+L91*'Pesos GPS'!H$16+'Pesos GPS'!H$17)</f>
        <v>0</v>
      </c>
      <c r="T91" s="5">
        <f>MAX(0,I91*'Pesos GPS'!I$13+J91*'Pesos GPS'!I$14+K91*'Pesos GPS'!I$15+L91*'Pesos GPS'!I$16+'Pesos GPS'!I$17)</f>
        <v>0</v>
      </c>
      <c r="U91" s="5">
        <f>M91*'Pesos GPS'!$B$22+N91*'Pesos GPS'!$B$23+O91*'Pesos GPS'!$B$24+P91*'Pesos GPS'!$B$25+Q91*'Pesos GPS'!$B$26+R91*'Pesos GPS'!$B$27+S91*'Pesos GPS'!$B$28+T91*'Pesos GPS'!$B$29+'Pesos GPS'!$B$30</f>
        <v>-4.204085994</v>
      </c>
      <c r="V91" s="5">
        <f t="shared" si="1"/>
        <v>0.01471467471</v>
      </c>
      <c r="W91" s="3">
        <f t="shared" si="2"/>
        <v>0</v>
      </c>
      <c r="X91" s="3">
        <f t="shared" si="3"/>
        <v>1</v>
      </c>
      <c r="Y91" s="9">
        <f t="shared" si="4"/>
        <v>0</v>
      </c>
      <c r="Z91" s="9">
        <v>0.014714674706572416</v>
      </c>
      <c r="AA91" s="3" t="str">
        <f t="shared" si="5"/>
        <v>OK</v>
      </c>
    </row>
    <row r="92" ht="15.75" customHeight="1">
      <c r="A92" s="3">
        <v>91.0</v>
      </c>
      <c r="B92" s="3" t="s">
        <v>15</v>
      </c>
      <c r="C92" s="7">
        <v>40.724777</v>
      </c>
      <c r="D92" s="7">
        <v>-74.027922</v>
      </c>
      <c r="E92" s="3">
        <v>0.0</v>
      </c>
      <c r="F92" s="3" t="s">
        <v>55</v>
      </c>
      <c r="G92" s="5">
        <f>(C92-'Pesos GPS'!$L$4)/'Pesos GPS'!$L$5</f>
        <v>1.005085303</v>
      </c>
      <c r="H92" s="5">
        <f>(D92-'Pesos GPS'!$L$6)/'Pesos GPS'!$L$7</f>
        <v>-1.000197779</v>
      </c>
      <c r="I92" s="5">
        <f>MAX(0,G92*'Pesos GPS'!B$6+H92*'Pesos GPS'!B$7+'Pesos GPS'!B$8)</f>
        <v>2.671127505</v>
      </c>
      <c r="J92" s="5">
        <f>MAX(0,G92*'Pesos GPS'!C$6+H92*'Pesos GPS'!C$7+'Pesos GPS'!C$8)</f>
        <v>0.3427535874</v>
      </c>
      <c r="K92" s="5">
        <f>MAX(0,G92*'Pesos GPS'!D$6+H92*'Pesos GPS'!D$7+'Pesos GPS'!D$8)</f>
        <v>0.4789389545</v>
      </c>
      <c r="L92" s="5">
        <f>MAX(0,G92*'Pesos GPS'!E$6+H92*'Pesos GPS'!E$7+'Pesos GPS'!E$8)</f>
        <v>1.794472512</v>
      </c>
      <c r="M92" s="5">
        <f>MAX(0,I92*'Pesos GPS'!B$13+J92*'Pesos GPS'!B$14+K92*'Pesos GPS'!B$15+L92*'Pesos GPS'!B$16+'Pesos GPS'!B$17)</f>
        <v>0</v>
      </c>
      <c r="N92" s="5">
        <f>MAX(0,I92*'Pesos GPS'!C$13+J92*'Pesos GPS'!C$14+K92*'Pesos GPS'!C$15+L92*'Pesos GPS'!C$16+'Pesos GPS'!C$17)</f>
        <v>0</v>
      </c>
      <c r="O92" s="5">
        <f>MAX(0,I92*'Pesos GPS'!D$13+J92*'Pesos GPS'!D$14+K92*'Pesos GPS'!D$15+L92*'Pesos GPS'!D$16+'Pesos GPS'!D$17)</f>
        <v>4.339914285</v>
      </c>
      <c r="P92" s="5">
        <f>MAX(0,I92*'Pesos GPS'!E$13+J92*'Pesos GPS'!E$14+K92*'Pesos GPS'!E$15+L92*'Pesos GPS'!E$16+'Pesos GPS'!E$17)</f>
        <v>3.457083436</v>
      </c>
      <c r="Q92" s="5">
        <f>MAX(0,I92*'Pesos GPS'!F$13+J92*'Pesos GPS'!F$14+K92*'Pesos GPS'!F$15+L92*'Pesos GPS'!F$16+'Pesos GPS'!F$17)</f>
        <v>0</v>
      </c>
      <c r="R92" s="5">
        <f>MAX(0,I92*'Pesos GPS'!G$13+J92*'Pesos GPS'!G$14+K92*'Pesos GPS'!G$15+L92*'Pesos GPS'!G$16+'Pesos GPS'!G$17)</f>
        <v>1.082521557</v>
      </c>
      <c r="S92" s="5">
        <f>MAX(0,I92*'Pesos GPS'!H$13+J92*'Pesos GPS'!H$14+K92*'Pesos GPS'!H$15+L92*'Pesos GPS'!H$16+'Pesos GPS'!H$17)</f>
        <v>0</v>
      </c>
      <c r="T92" s="5">
        <f>MAX(0,I92*'Pesos GPS'!I$13+J92*'Pesos GPS'!I$14+K92*'Pesos GPS'!I$15+L92*'Pesos GPS'!I$16+'Pesos GPS'!I$17)</f>
        <v>0</v>
      </c>
      <c r="U92" s="5">
        <f>M92*'Pesos GPS'!$B$22+N92*'Pesos GPS'!$B$23+O92*'Pesos GPS'!$B$24+P92*'Pesos GPS'!$B$25+Q92*'Pesos GPS'!$B$26+R92*'Pesos GPS'!$B$27+S92*'Pesos GPS'!$B$28+T92*'Pesos GPS'!$B$29+'Pesos GPS'!$B$30</f>
        <v>-4.207167327</v>
      </c>
      <c r="V92" s="5">
        <f t="shared" si="1"/>
        <v>0.01467006781</v>
      </c>
      <c r="W92" s="3">
        <f t="shared" si="2"/>
        <v>0</v>
      </c>
      <c r="X92" s="3">
        <f t="shared" si="3"/>
        <v>1</v>
      </c>
      <c r="Y92" s="9">
        <f t="shared" si="4"/>
        <v>0</v>
      </c>
      <c r="Z92" s="9">
        <v>0.014670067807252126</v>
      </c>
      <c r="AA92" s="3" t="str">
        <f t="shared" si="5"/>
        <v>OK</v>
      </c>
    </row>
    <row r="93" ht="15.75" customHeight="1">
      <c r="A93" s="3">
        <v>92.0</v>
      </c>
      <c r="B93" s="3" t="s">
        <v>15</v>
      </c>
      <c r="C93" s="7">
        <v>40.711027</v>
      </c>
      <c r="D93" s="7">
        <v>-74.008357</v>
      </c>
      <c r="E93" s="3">
        <v>0.0</v>
      </c>
      <c r="F93" s="3" t="s">
        <v>55</v>
      </c>
      <c r="G93" s="5">
        <f>(C93-'Pesos GPS'!$L$4)/'Pesos GPS'!$L$5</f>
        <v>0.9996237605</v>
      </c>
      <c r="H93" s="5">
        <f>(D93-'Pesos GPS'!$L$6)/'Pesos GPS'!$L$7</f>
        <v>-1.000014634</v>
      </c>
      <c r="I93" s="5">
        <f>MAX(0,G93*'Pesos GPS'!B$6+H93*'Pesos GPS'!B$7+'Pesos GPS'!B$8)</f>
        <v>2.668329464</v>
      </c>
      <c r="J93" s="5">
        <f>MAX(0,G93*'Pesos GPS'!C$6+H93*'Pesos GPS'!C$7+'Pesos GPS'!C$8)</f>
        <v>0.3480342627</v>
      </c>
      <c r="K93" s="5">
        <f>MAX(0,G93*'Pesos GPS'!D$6+H93*'Pesos GPS'!D$7+'Pesos GPS'!D$8)</f>
        <v>0.4751407006</v>
      </c>
      <c r="L93" s="5">
        <f>MAX(0,G93*'Pesos GPS'!E$6+H93*'Pesos GPS'!E$7+'Pesos GPS'!E$8)</f>
        <v>1.788276953</v>
      </c>
      <c r="M93" s="5">
        <f>MAX(0,I93*'Pesos GPS'!B$13+J93*'Pesos GPS'!B$14+K93*'Pesos GPS'!B$15+L93*'Pesos GPS'!B$16+'Pesos GPS'!B$17)</f>
        <v>0</v>
      </c>
      <c r="N93" s="5">
        <f>MAX(0,I93*'Pesos GPS'!C$13+J93*'Pesos GPS'!C$14+K93*'Pesos GPS'!C$15+L93*'Pesos GPS'!C$16+'Pesos GPS'!C$17)</f>
        <v>0</v>
      </c>
      <c r="O93" s="5">
        <f>MAX(0,I93*'Pesos GPS'!D$13+J93*'Pesos GPS'!D$14+K93*'Pesos GPS'!D$15+L93*'Pesos GPS'!D$16+'Pesos GPS'!D$17)</f>
        <v>4.334712633</v>
      </c>
      <c r="P93" s="5">
        <f>MAX(0,I93*'Pesos GPS'!E$13+J93*'Pesos GPS'!E$14+K93*'Pesos GPS'!E$15+L93*'Pesos GPS'!E$16+'Pesos GPS'!E$17)</f>
        <v>3.448660091</v>
      </c>
      <c r="Q93" s="5">
        <f>MAX(0,I93*'Pesos GPS'!F$13+J93*'Pesos GPS'!F$14+K93*'Pesos GPS'!F$15+L93*'Pesos GPS'!F$16+'Pesos GPS'!F$17)</f>
        <v>0</v>
      </c>
      <c r="R93" s="5">
        <f>MAX(0,I93*'Pesos GPS'!G$13+J93*'Pesos GPS'!G$14+K93*'Pesos GPS'!G$15+L93*'Pesos GPS'!G$16+'Pesos GPS'!G$17)</f>
        <v>1.08020543</v>
      </c>
      <c r="S93" s="5">
        <f>MAX(0,I93*'Pesos GPS'!H$13+J93*'Pesos GPS'!H$14+K93*'Pesos GPS'!H$15+L93*'Pesos GPS'!H$16+'Pesos GPS'!H$17)</f>
        <v>0</v>
      </c>
      <c r="T93" s="5">
        <f>MAX(0,I93*'Pesos GPS'!I$13+J93*'Pesos GPS'!I$14+K93*'Pesos GPS'!I$15+L93*'Pesos GPS'!I$16+'Pesos GPS'!I$17)</f>
        <v>0</v>
      </c>
      <c r="U93" s="5">
        <f>M93*'Pesos GPS'!$B$22+N93*'Pesos GPS'!$B$23+O93*'Pesos GPS'!$B$24+P93*'Pesos GPS'!$B$25+Q93*'Pesos GPS'!$B$26+R93*'Pesos GPS'!$B$27+S93*'Pesos GPS'!$B$28+T93*'Pesos GPS'!$B$29+'Pesos GPS'!$B$30</f>
        <v>-4.196858993</v>
      </c>
      <c r="V93" s="5">
        <f t="shared" si="1"/>
        <v>0.01481982119</v>
      </c>
      <c r="W93" s="3">
        <f t="shared" si="2"/>
        <v>0</v>
      </c>
      <c r="X93" s="3">
        <f t="shared" si="3"/>
        <v>1</v>
      </c>
      <c r="Y93" s="9">
        <f t="shared" si="4"/>
        <v>0</v>
      </c>
      <c r="Z93" s="9">
        <v>0.014819821186421712</v>
      </c>
      <c r="AA93" s="3" t="str">
        <f t="shared" si="5"/>
        <v>OK</v>
      </c>
    </row>
    <row r="94" ht="15.75" customHeight="1">
      <c r="A94" s="3">
        <v>93.0</v>
      </c>
      <c r="B94" s="3" t="s">
        <v>15</v>
      </c>
      <c r="C94" s="7">
        <v>40.705181</v>
      </c>
      <c r="D94" s="7">
        <v>-74.049943</v>
      </c>
      <c r="E94" s="3">
        <v>0.0</v>
      </c>
      <c r="F94" s="3" t="s">
        <v>55</v>
      </c>
      <c r="G94" s="5">
        <f>(C94-'Pesos GPS'!$L$4)/'Pesos GPS'!$L$5</f>
        <v>0.9973017111</v>
      </c>
      <c r="H94" s="5">
        <f>(D94-'Pesos GPS'!$L$6)/'Pesos GPS'!$L$7</f>
        <v>-1.000403915</v>
      </c>
      <c r="I94" s="5">
        <f>MAX(0,G94*'Pesos GPS'!B$6+H94*'Pesos GPS'!B$7+'Pesos GPS'!B$8)</f>
        <v>2.668115528</v>
      </c>
      <c r="J94" s="5">
        <f>MAX(0,G94*'Pesos GPS'!C$6+H94*'Pesos GPS'!C$7+'Pesos GPS'!C$8)</f>
        <v>0.3509010285</v>
      </c>
      <c r="K94" s="5">
        <f>MAX(0,G94*'Pesos GPS'!D$6+H94*'Pesos GPS'!D$7+'Pesos GPS'!D$8)</f>
        <v>0.473443178</v>
      </c>
      <c r="L94" s="5">
        <f>MAX(0,G94*'Pesos GPS'!E$6+H94*'Pesos GPS'!E$7+'Pesos GPS'!E$8)</f>
        <v>1.785873384</v>
      </c>
      <c r="M94" s="5">
        <f>MAX(0,I94*'Pesos GPS'!B$13+J94*'Pesos GPS'!B$14+K94*'Pesos GPS'!B$15+L94*'Pesos GPS'!B$16+'Pesos GPS'!B$17)</f>
        <v>0</v>
      </c>
      <c r="N94" s="5">
        <f>MAX(0,I94*'Pesos GPS'!C$13+J94*'Pesos GPS'!C$14+K94*'Pesos GPS'!C$15+L94*'Pesos GPS'!C$16+'Pesos GPS'!C$17)</f>
        <v>0</v>
      </c>
      <c r="O94" s="5">
        <f>MAX(0,I94*'Pesos GPS'!D$13+J94*'Pesos GPS'!D$14+K94*'Pesos GPS'!D$15+L94*'Pesos GPS'!D$16+'Pesos GPS'!D$17)</f>
        <v>4.33401307</v>
      </c>
      <c r="P94" s="5">
        <f>MAX(0,I94*'Pesos GPS'!E$13+J94*'Pesos GPS'!E$14+K94*'Pesos GPS'!E$15+L94*'Pesos GPS'!E$16+'Pesos GPS'!E$17)</f>
        <v>3.445888787</v>
      </c>
      <c r="Q94" s="5">
        <f>MAX(0,I94*'Pesos GPS'!F$13+J94*'Pesos GPS'!F$14+K94*'Pesos GPS'!F$15+L94*'Pesos GPS'!F$16+'Pesos GPS'!F$17)</f>
        <v>0</v>
      </c>
      <c r="R94" s="5">
        <f>MAX(0,I94*'Pesos GPS'!G$13+J94*'Pesos GPS'!G$14+K94*'Pesos GPS'!G$15+L94*'Pesos GPS'!G$16+'Pesos GPS'!G$17)</f>
        <v>1.079548455</v>
      </c>
      <c r="S94" s="5">
        <f>MAX(0,I94*'Pesos GPS'!H$13+J94*'Pesos GPS'!H$14+K94*'Pesos GPS'!H$15+L94*'Pesos GPS'!H$16+'Pesos GPS'!H$17)</f>
        <v>0.001325256231</v>
      </c>
      <c r="T94" s="5">
        <f>MAX(0,I94*'Pesos GPS'!I$13+J94*'Pesos GPS'!I$14+K94*'Pesos GPS'!I$15+L94*'Pesos GPS'!I$16+'Pesos GPS'!I$17)</f>
        <v>0</v>
      </c>
      <c r="U94" s="5">
        <f>M94*'Pesos GPS'!$B$22+N94*'Pesos GPS'!$B$23+O94*'Pesos GPS'!$B$24+P94*'Pesos GPS'!$B$25+Q94*'Pesos GPS'!$B$26+R94*'Pesos GPS'!$B$27+S94*'Pesos GPS'!$B$28+T94*'Pesos GPS'!$B$29+'Pesos GPS'!$B$30</f>
        <v>-4.194143612</v>
      </c>
      <c r="V94" s="5">
        <f t="shared" si="1"/>
        <v>0.01485951854</v>
      </c>
      <c r="W94" s="3">
        <f t="shared" si="2"/>
        <v>0</v>
      </c>
      <c r="X94" s="3">
        <f t="shared" si="3"/>
        <v>1</v>
      </c>
      <c r="Y94" s="9">
        <f t="shared" si="4"/>
        <v>0</v>
      </c>
      <c r="Z94" s="9">
        <v>0.014859518543759423</v>
      </c>
      <c r="AA94" s="3" t="str">
        <f t="shared" si="5"/>
        <v>OK</v>
      </c>
    </row>
    <row r="95" ht="15.75" customHeight="1">
      <c r="A95" s="3">
        <v>94.0</v>
      </c>
      <c r="B95" s="3" t="s">
        <v>15</v>
      </c>
      <c r="C95" s="7">
        <v>40.711365</v>
      </c>
      <c r="D95" s="7">
        <v>-74.042676</v>
      </c>
      <c r="E95" s="3">
        <v>0.0</v>
      </c>
      <c r="F95" s="3" t="s">
        <v>55</v>
      </c>
      <c r="G95" s="5">
        <f>(C95-'Pesos GPS'!$L$4)/'Pesos GPS'!$L$5</f>
        <v>0.9997580152</v>
      </c>
      <c r="H95" s="5">
        <f>(D95-'Pesos GPS'!$L$6)/'Pesos GPS'!$L$7</f>
        <v>-1.000335889</v>
      </c>
      <c r="I95" s="5">
        <f>MAX(0,G95*'Pesos GPS'!B$6+H95*'Pesos GPS'!B$7+'Pesos GPS'!B$8)</f>
        <v>2.66905982</v>
      </c>
      <c r="J95" s="5">
        <f>MAX(0,G95*'Pesos GPS'!C$6+H95*'Pesos GPS'!C$7+'Pesos GPS'!C$8)</f>
        <v>0.3483259453</v>
      </c>
      <c r="K95" s="5">
        <f>MAX(0,G95*'Pesos GPS'!D$6+H95*'Pesos GPS'!D$7+'Pesos GPS'!D$8)</f>
        <v>0.4751780317</v>
      </c>
      <c r="L95" s="5">
        <f>MAX(0,G95*'Pesos GPS'!E$6+H95*'Pesos GPS'!E$7+'Pesos GPS'!E$8)</f>
        <v>1.788585583</v>
      </c>
      <c r="M95" s="5">
        <f>MAX(0,I95*'Pesos GPS'!B$13+J95*'Pesos GPS'!B$14+K95*'Pesos GPS'!B$15+L95*'Pesos GPS'!B$16+'Pesos GPS'!B$17)</f>
        <v>0</v>
      </c>
      <c r="N95" s="5">
        <f>MAX(0,I95*'Pesos GPS'!C$13+J95*'Pesos GPS'!C$14+K95*'Pesos GPS'!C$15+L95*'Pesos GPS'!C$16+'Pesos GPS'!C$17)</f>
        <v>0</v>
      </c>
      <c r="O95" s="5">
        <f>MAX(0,I95*'Pesos GPS'!D$13+J95*'Pesos GPS'!D$14+K95*'Pesos GPS'!D$15+L95*'Pesos GPS'!D$16+'Pesos GPS'!D$17)</f>
        <v>4.335865717</v>
      </c>
      <c r="P95" s="5">
        <f>MAX(0,I95*'Pesos GPS'!E$13+J95*'Pesos GPS'!E$14+K95*'Pesos GPS'!E$15+L95*'Pesos GPS'!E$16+'Pesos GPS'!E$17)</f>
        <v>3.449416377</v>
      </c>
      <c r="Q95" s="5">
        <f>MAX(0,I95*'Pesos GPS'!F$13+J95*'Pesos GPS'!F$14+K95*'Pesos GPS'!F$15+L95*'Pesos GPS'!F$16+'Pesos GPS'!F$17)</f>
        <v>0</v>
      </c>
      <c r="R95" s="5">
        <f>MAX(0,I95*'Pesos GPS'!G$13+J95*'Pesos GPS'!G$14+K95*'Pesos GPS'!G$15+L95*'Pesos GPS'!G$16+'Pesos GPS'!G$17)</f>
        <v>1.080484604</v>
      </c>
      <c r="S95" s="5">
        <f>MAX(0,I95*'Pesos GPS'!H$13+J95*'Pesos GPS'!H$14+K95*'Pesos GPS'!H$15+L95*'Pesos GPS'!H$16+'Pesos GPS'!H$17)</f>
        <v>0</v>
      </c>
      <c r="T95" s="5">
        <f>MAX(0,I95*'Pesos GPS'!I$13+J95*'Pesos GPS'!I$14+K95*'Pesos GPS'!I$15+L95*'Pesos GPS'!I$16+'Pesos GPS'!I$17)</f>
        <v>0</v>
      </c>
      <c r="U95" s="5">
        <f>M95*'Pesos GPS'!$B$22+N95*'Pesos GPS'!$B$23+O95*'Pesos GPS'!$B$24+P95*'Pesos GPS'!$B$25+Q95*'Pesos GPS'!$B$26+R95*'Pesos GPS'!$B$27+S95*'Pesos GPS'!$B$28+T95*'Pesos GPS'!$B$29+'Pesos GPS'!$B$30</f>
        <v>-4.198521152</v>
      </c>
      <c r="V95" s="5">
        <f t="shared" si="1"/>
        <v>0.01479557291</v>
      </c>
      <c r="W95" s="3">
        <f t="shared" si="2"/>
        <v>0</v>
      </c>
      <c r="X95" s="3">
        <f t="shared" si="3"/>
        <v>1</v>
      </c>
      <c r="Y95" s="9">
        <f t="shared" si="4"/>
        <v>0</v>
      </c>
      <c r="Z95" s="9">
        <v>0.014795572905598674</v>
      </c>
      <c r="AA95" s="3" t="str">
        <f t="shared" si="5"/>
        <v>OK</v>
      </c>
    </row>
    <row r="96" ht="15.75" customHeight="1">
      <c r="A96" s="3">
        <v>95.0</v>
      </c>
      <c r="B96" s="3" t="s">
        <v>15</v>
      </c>
      <c r="C96" s="7">
        <v>40.682428</v>
      </c>
      <c r="D96" s="7">
        <v>-73.952769</v>
      </c>
      <c r="E96" s="3">
        <v>0.0</v>
      </c>
      <c r="F96" s="3" t="s">
        <v>55</v>
      </c>
      <c r="G96" s="5">
        <f>(C96-'Pesos GPS'!$L$4)/'Pesos GPS'!$L$5</f>
        <v>0.9882641487</v>
      </c>
      <c r="H96" s="5">
        <f>(D96-'Pesos GPS'!$L$6)/'Pesos GPS'!$L$7</f>
        <v>-0.9994942816</v>
      </c>
      <c r="I96" s="5">
        <f>MAX(0,G96*'Pesos GPS'!B$6+H96*'Pesos GPS'!B$7+'Pesos GPS'!B$8)</f>
        <v>2.662218541</v>
      </c>
      <c r="J96" s="5">
        <f>MAX(0,G96*'Pesos GPS'!C$6+H96*'Pesos GPS'!C$7+'Pesos GPS'!C$8)</f>
        <v>0.3588321589</v>
      </c>
      <c r="K96" s="5">
        <f>MAX(0,G96*'Pesos GPS'!D$6+H96*'Pesos GPS'!D$7+'Pesos GPS'!D$8)</f>
        <v>0.4672652739</v>
      </c>
      <c r="L96" s="5">
        <f>MAX(0,G96*'Pesos GPS'!E$6+H96*'Pesos GPS'!E$7+'Pesos GPS'!E$8)</f>
        <v>1.77532183</v>
      </c>
      <c r="M96" s="5">
        <f>MAX(0,I96*'Pesos GPS'!B$13+J96*'Pesos GPS'!B$14+K96*'Pesos GPS'!B$15+L96*'Pesos GPS'!B$16+'Pesos GPS'!B$17)</f>
        <v>0</v>
      </c>
      <c r="N96" s="5">
        <f>MAX(0,I96*'Pesos GPS'!C$13+J96*'Pesos GPS'!C$14+K96*'Pesos GPS'!C$15+L96*'Pesos GPS'!C$16+'Pesos GPS'!C$17)</f>
        <v>0</v>
      </c>
      <c r="O96" s="5">
        <f>MAX(0,I96*'Pesos GPS'!D$13+J96*'Pesos GPS'!D$14+K96*'Pesos GPS'!D$15+L96*'Pesos GPS'!D$16+'Pesos GPS'!D$17)</f>
        <v>4.323442314</v>
      </c>
      <c r="P96" s="5">
        <f>MAX(0,I96*'Pesos GPS'!E$13+J96*'Pesos GPS'!E$14+K96*'Pesos GPS'!E$15+L96*'Pesos GPS'!E$16+'Pesos GPS'!E$17)</f>
        <v>3.430898397</v>
      </c>
      <c r="Q96" s="5">
        <f>MAX(0,I96*'Pesos GPS'!F$13+J96*'Pesos GPS'!F$14+K96*'Pesos GPS'!F$15+L96*'Pesos GPS'!F$16+'Pesos GPS'!F$17)</f>
        <v>0</v>
      </c>
      <c r="R96" s="5">
        <f>MAX(0,I96*'Pesos GPS'!G$13+J96*'Pesos GPS'!G$14+K96*'Pesos GPS'!G$15+L96*'Pesos GPS'!G$16+'Pesos GPS'!G$17)</f>
        <v>1.075290233</v>
      </c>
      <c r="S96" s="5">
        <f>MAX(0,I96*'Pesos GPS'!H$13+J96*'Pesos GPS'!H$14+K96*'Pesos GPS'!H$15+L96*'Pesos GPS'!H$16+'Pesos GPS'!H$17)</f>
        <v>0.005565970995</v>
      </c>
      <c r="T96" s="5">
        <f>MAX(0,I96*'Pesos GPS'!I$13+J96*'Pesos GPS'!I$14+K96*'Pesos GPS'!I$15+L96*'Pesos GPS'!I$16+'Pesos GPS'!I$17)</f>
        <v>0</v>
      </c>
      <c r="U96" s="5">
        <f>M96*'Pesos GPS'!$B$22+N96*'Pesos GPS'!$B$23+O96*'Pesos GPS'!$B$24+P96*'Pesos GPS'!$B$25+Q96*'Pesos GPS'!$B$26+R96*'Pesos GPS'!$B$27+S96*'Pesos GPS'!$B$28+T96*'Pesos GPS'!$B$29+'Pesos GPS'!$B$30</f>
        <v>-4.173075135</v>
      </c>
      <c r="V96" s="5">
        <f t="shared" si="1"/>
        <v>0.01517110723</v>
      </c>
      <c r="W96" s="3">
        <f t="shared" si="2"/>
        <v>0</v>
      </c>
      <c r="X96" s="3">
        <f t="shared" si="3"/>
        <v>1</v>
      </c>
      <c r="Y96" s="9">
        <f t="shared" si="4"/>
        <v>0</v>
      </c>
      <c r="Z96" s="9">
        <v>0.015171107225281475</v>
      </c>
      <c r="AA96" s="3" t="str">
        <f t="shared" si="5"/>
        <v>OK</v>
      </c>
    </row>
    <row r="97" ht="15.75" customHeight="1">
      <c r="A97" s="3">
        <v>96.0</v>
      </c>
      <c r="B97" s="3" t="s">
        <v>15</v>
      </c>
      <c r="C97" s="7">
        <v>40.686752</v>
      </c>
      <c r="D97" s="7">
        <v>-74.038186</v>
      </c>
      <c r="E97" s="3">
        <v>0.0</v>
      </c>
      <c r="F97" s="3" t="s">
        <v>55</v>
      </c>
      <c r="G97" s="5">
        <f>(C97-'Pesos GPS'!$L$4)/'Pesos GPS'!$L$5</f>
        <v>0.989981655</v>
      </c>
      <c r="H97" s="5">
        <f>(D97-'Pesos GPS'!$L$6)/'Pesos GPS'!$L$7</f>
        <v>-1.000293859</v>
      </c>
      <c r="I97" s="5">
        <f>MAX(0,G97*'Pesos GPS'!B$6+H97*'Pesos GPS'!B$7+'Pesos GPS'!B$8)</f>
        <v>2.664648162</v>
      </c>
      <c r="J97" s="5">
        <f>MAX(0,G97*'Pesos GPS'!C$6+H97*'Pesos GPS'!C$7+'Pesos GPS'!C$8)</f>
        <v>0.3581588573</v>
      </c>
      <c r="K97" s="5">
        <f>MAX(0,G97*'Pesos GPS'!D$6+H97*'Pesos GPS'!D$7+'Pesos GPS'!D$8)</f>
        <v>0.468328457</v>
      </c>
      <c r="L97" s="5">
        <f>MAX(0,G97*'Pesos GPS'!E$6+H97*'Pesos GPS'!E$7+'Pesos GPS'!E$8)</f>
        <v>1.777636365</v>
      </c>
      <c r="M97" s="5">
        <f>MAX(0,I97*'Pesos GPS'!B$13+J97*'Pesos GPS'!B$14+K97*'Pesos GPS'!B$15+L97*'Pesos GPS'!B$16+'Pesos GPS'!B$17)</f>
        <v>0</v>
      </c>
      <c r="N97" s="5">
        <f>MAX(0,I97*'Pesos GPS'!C$13+J97*'Pesos GPS'!C$14+K97*'Pesos GPS'!C$15+L97*'Pesos GPS'!C$16+'Pesos GPS'!C$17)</f>
        <v>0</v>
      </c>
      <c r="O97" s="5">
        <f>MAX(0,I97*'Pesos GPS'!D$13+J97*'Pesos GPS'!D$14+K97*'Pesos GPS'!D$15+L97*'Pesos GPS'!D$16+'Pesos GPS'!D$17)</f>
        <v>4.327479624</v>
      </c>
      <c r="P97" s="5">
        <f>MAX(0,I97*'Pesos GPS'!E$13+J97*'Pesos GPS'!E$14+K97*'Pesos GPS'!E$15+L97*'Pesos GPS'!E$16+'Pesos GPS'!E$17)</f>
        <v>3.434833848</v>
      </c>
      <c r="Q97" s="5">
        <f>MAX(0,I97*'Pesos GPS'!F$13+J97*'Pesos GPS'!F$14+K97*'Pesos GPS'!F$15+L97*'Pesos GPS'!F$16+'Pesos GPS'!F$17)</f>
        <v>0</v>
      </c>
      <c r="R97" s="5">
        <f>MAX(0,I97*'Pesos GPS'!G$13+J97*'Pesos GPS'!G$14+K97*'Pesos GPS'!G$15+L97*'Pesos GPS'!G$16+'Pesos GPS'!G$17)</f>
        <v>1.076539179</v>
      </c>
      <c r="S97" s="5">
        <f>MAX(0,I97*'Pesos GPS'!H$13+J97*'Pesos GPS'!H$14+K97*'Pesos GPS'!H$15+L97*'Pesos GPS'!H$16+'Pesos GPS'!H$17)</f>
        <v>0.005253433837</v>
      </c>
      <c r="T97" s="5">
        <f>MAX(0,I97*'Pesos GPS'!I$13+J97*'Pesos GPS'!I$14+K97*'Pesos GPS'!I$15+L97*'Pesos GPS'!I$16+'Pesos GPS'!I$17)</f>
        <v>0</v>
      </c>
      <c r="U97" s="5">
        <f>M97*'Pesos GPS'!$B$22+N97*'Pesos GPS'!$B$23+O97*'Pesos GPS'!$B$24+P97*'Pesos GPS'!$B$25+Q97*'Pesos GPS'!$B$26+R97*'Pesos GPS'!$B$27+S97*'Pesos GPS'!$B$28+T97*'Pesos GPS'!$B$29+'Pesos GPS'!$B$30</f>
        <v>-4.179713553</v>
      </c>
      <c r="V97" s="5">
        <f t="shared" si="1"/>
        <v>0.01507224155</v>
      </c>
      <c r="W97" s="3">
        <f t="shared" si="2"/>
        <v>0</v>
      </c>
      <c r="X97" s="3">
        <f t="shared" si="3"/>
        <v>1</v>
      </c>
      <c r="Y97" s="9">
        <f t="shared" si="4"/>
        <v>0</v>
      </c>
      <c r="Z97" s="9">
        <v>0.015072241546373344</v>
      </c>
      <c r="AA97" s="3" t="str">
        <f t="shared" si="5"/>
        <v>OK</v>
      </c>
    </row>
    <row r="98" ht="15.75" customHeight="1">
      <c r="A98" s="3">
        <v>97.0</v>
      </c>
      <c r="B98" s="3" t="s">
        <v>15</v>
      </c>
      <c r="C98" s="7">
        <v>40.688991</v>
      </c>
      <c r="D98" s="7">
        <v>-74.03342</v>
      </c>
      <c r="E98" s="3">
        <v>0.0</v>
      </c>
      <c r="F98" s="3" t="s">
        <v>55</v>
      </c>
      <c r="G98" s="5">
        <f>(C98-'Pesos GPS'!$L$4)/'Pesos GPS'!$L$5</f>
        <v>0.9908709927</v>
      </c>
      <c r="H98" s="5">
        <f>(D98-'Pesos GPS'!$L$6)/'Pesos GPS'!$L$7</f>
        <v>-1.000249245</v>
      </c>
      <c r="I98" s="5">
        <f>MAX(0,G98*'Pesos GPS'!B$6+H98*'Pesos GPS'!B$7+'Pesos GPS'!B$8)</f>
        <v>2.664948316</v>
      </c>
      <c r="J98" s="5">
        <f>MAX(0,G98*'Pesos GPS'!C$6+H98*'Pesos GPS'!C$7+'Pesos GPS'!C$8)</f>
        <v>0.3571999216</v>
      </c>
      <c r="K98" s="5">
        <f>MAX(0,G98*'Pesos GPS'!D$6+H98*'Pesos GPS'!D$7+'Pesos GPS'!D$8)</f>
        <v>0.4689601194</v>
      </c>
      <c r="L98" s="5">
        <f>MAX(0,G98*'Pesos GPS'!E$6+H98*'Pesos GPS'!E$7+'Pesos GPS'!E$8)</f>
        <v>1.77860849</v>
      </c>
      <c r="M98" s="5">
        <f>MAX(0,I98*'Pesos GPS'!B$13+J98*'Pesos GPS'!B$14+K98*'Pesos GPS'!B$15+L98*'Pesos GPS'!B$16+'Pesos GPS'!B$17)</f>
        <v>0</v>
      </c>
      <c r="N98" s="5">
        <f>MAX(0,I98*'Pesos GPS'!C$13+J98*'Pesos GPS'!C$14+K98*'Pesos GPS'!C$15+L98*'Pesos GPS'!C$16+'Pesos GPS'!C$17)</f>
        <v>0</v>
      </c>
      <c r="O98" s="5">
        <f>MAX(0,I98*'Pesos GPS'!D$13+J98*'Pesos GPS'!D$14+K98*'Pesos GPS'!D$15+L98*'Pesos GPS'!D$16+'Pesos GPS'!D$17)</f>
        <v>4.328085718</v>
      </c>
      <c r="P98" s="5">
        <f>MAX(0,I98*'Pesos GPS'!E$13+J98*'Pesos GPS'!E$14+K98*'Pesos GPS'!E$15+L98*'Pesos GPS'!E$16+'Pesos GPS'!E$17)</f>
        <v>3.436076408</v>
      </c>
      <c r="Q98" s="5">
        <f>MAX(0,I98*'Pesos GPS'!F$13+J98*'Pesos GPS'!F$14+K98*'Pesos GPS'!F$15+L98*'Pesos GPS'!F$16+'Pesos GPS'!F$17)</f>
        <v>0</v>
      </c>
      <c r="R98" s="5">
        <f>MAX(0,I98*'Pesos GPS'!G$13+J98*'Pesos GPS'!G$14+K98*'Pesos GPS'!G$15+L98*'Pesos GPS'!G$16+'Pesos GPS'!G$17)</f>
        <v>1.076864103</v>
      </c>
      <c r="S98" s="5">
        <f>MAX(0,I98*'Pesos GPS'!H$13+J98*'Pesos GPS'!H$14+K98*'Pesos GPS'!H$15+L98*'Pesos GPS'!H$16+'Pesos GPS'!H$17)</f>
        <v>0.004730538438</v>
      </c>
      <c r="T98" s="5">
        <f>MAX(0,I98*'Pesos GPS'!I$13+J98*'Pesos GPS'!I$14+K98*'Pesos GPS'!I$15+L98*'Pesos GPS'!I$16+'Pesos GPS'!I$17)</f>
        <v>0</v>
      </c>
      <c r="U98" s="5">
        <f>M98*'Pesos GPS'!$B$22+N98*'Pesos GPS'!$B$23+O98*'Pesos GPS'!$B$24+P98*'Pesos GPS'!$B$25+Q98*'Pesos GPS'!$B$26+R98*'Pesos GPS'!$B$27+S98*'Pesos GPS'!$B$28+T98*'Pesos GPS'!$B$29+'Pesos GPS'!$B$30</f>
        <v>-4.181222953</v>
      </c>
      <c r="V98" s="5">
        <f t="shared" si="1"/>
        <v>0.01504985079</v>
      </c>
      <c r="W98" s="3">
        <f t="shared" si="2"/>
        <v>0</v>
      </c>
      <c r="X98" s="3">
        <f t="shared" si="3"/>
        <v>1</v>
      </c>
      <c r="Y98" s="9">
        <f t="shared" si="4"/>
        <v>0</v>
      </c>
      <c r="Z98" s="9">
        <v>0.015049850792294475</v>
      </c>
      <c r="AA98" s="3" t="str">
        <f t="shared" si="5"/>
        <v>OK</v>
      </c>
    </row>
    <row r="99" ht="15.75" customHeight="1">
      <c r="A99" s="3">
        <v>98.0</v>
      </c>
      <c r="B99" s="3" t="s">
        <v>15</v>
      </c>
      <c r="C99" s="7">
        <v>40.69485</v>
      </c>
      <c r="D99" s="7">
        <v>-73.960077</v>
      </c>
      <c r="E99" s="3">
        <v>0.0</v>
      </c>
      <c r="F99" s="3" t="s">
        <v>55</v>
      </c>
      <c r="G99" s="5">
        <f>(C99-'Pesos GPS'!$L$4)/'Pesos GPS'!$L$5</f>
        <v>0.9931982058</v>
      </c>
      <c r="H99" s="5">
        <f>(D99-'Pesos GPS'!$L$6)/'Pesos GPS'!$L$7</f>
        <v>-0.9995626908</v>
      </c>
      <c r="I99" s="5">
        <f>MAX(0,G99*'Pesos GPS'!B$6+H99*'Pesos GPS'!B$7+'Pesos GPS'!B$8)</f>
        <v>2.664543647</v>
      </c>
      <c r="J99" s="5">
        <f>MAX(0,G99*'Pesos GPS'!C$6+H99*'Pesos GPS'!C$7+'Pesos GPS'!C$8)</f>
        <v>0.3539323635</v>
      </c>
      <c r="K99" s="5">
        <f>MAX(0,G99*'Pesos GPS'!D$6+H99*'Pesos GPS'!D$7+'Pesos GPS'!D$8)</f>
        <v>0.4707138543</v>
      </c>
      <c r="L99" s="5">
        <f>MAX(0,G99*'Pesos GPS'!E$6+H99*'Pesos GPS'!E$7+'Pesos GPS'!E$8)</f>
        <v>1.780871114</v>
      </c>
      <c r="M99" s="5">
        <f>MAX(0,I99*'Pesos GPS'!B$13+J99*'Pesos GPS'!B$14+K99*'Pesos GPS'!B$15+L99*'Pesos GPS'!B$16+'Pesos GPS'!B$17)</f>
        <v>0</v>
      </c>
      <c r="N99" s="5">
        <f>MAX(0,I99*'Pesos GPS'!C$13+J99*'Pesos GPS'!C$14+K99*'Pesos GPS'!C$15+L99*'Pesos GPS'!C$16+'Pesos GPS'!C$17)</f>
        <v>0</v>
      </c>
      <c r="O99" s="5">
        <f>MAX(0,I99*'Pesos GPS'!D$13+J99*'Pesos GPS'!D$14+K99*'Pesos GPS'!D$15+L99*'Pesos GPS'!D$16+'Pesos GPS'!D$17)</f>
        <v>4.327827472</v>
      </c>
      <c r="P99" s="5">
        <f>MAX(0,I99*'Pesos GPS'!E$13+J99*'Pesos GPS'!E$14+K99*'Pesos GPS'!E$15+L99*'Pesos GPS'!E$16+'Pesos GPS'!E$17)</f>
        <v>3.438339928</v>
      </c>
      <c r="Q99" s="5">
        <f>MAX(0,I99*'Pesos GPS'!F$13+J99*'Pesos GPS'!F$14+K99*'Pesos GPS'!F$15+L99*'Pesos GPS'!F$16+'Pesos GPS'!F$17)</f>
        <v>0</v>
      </c>
      <c r="R99" s="5">
        <f>MAX(0,I99*'Pesos GPS'!G$13+J99*'Pesos GPS'!G$14+K99*'Pesos GPS'!G$15+L99*'Pesos GPS'!G$16+'Pesos GPS'!G$17)</f>
        <v>1.077314574</v>
      </c>
      <c r="S99" s="5">
        <f>MAX(0,I99*'Pesos GPS'!H$13+J99*'Pesos GPS'!H$14+K99*'Pesos GPS'!H$15+L99*'Pesos GPS'!H$16+'Pesos GPS'!H$17)</f>
        <v>0.002913652168</v>
      </c>
      <c r="T99" s="5">
        <f>MAX(0,I99*'Pesos GPS'!I$13+J99*'Pesos GPS'!I$14+K99*'Pesos GPS'!I$15+L99*'Pesos GPS'!I$16+'Pesos GPS'!I$17)</f>
        <v>0</v>
      </c>
      <c r="U99" s="5">
        <f>M99*'Pesos GPS'!$B$22+N99*'Pesos GPS'!$B$23+O99*'Pesos GPS'!$B$24+P99*'Pesos GPS'!$B$25+Q99*'Pesos GPS'!$B$26+R99*'Pesos GPS'!$B$27+S99*'Pesos GPS'!$B$28+T99*'Pesos GPS'!$B$29+'Pesos GPS'!$B$30</f>
        <v>-4.182777393</v>
      </c>
      <c r="V99" s="5">
        <f t="shared" si="1"/>
        <v>0.01502682614</v>
      </c>
      <c r="W99" s="3">
        <f t="shared" si="2"/>
        <v>0</v>
      </c>
      <c r="X99" s="3">
        <f t="shared" si="3"/>
        <v>1</v>
      </c>
      <c r="Y99" s="9">
        <f t="shared" si="4"/>
        <v>0</v>
      </c>
      <c r="Z99" s="9">
        <v>0.0150268261364155</v>
      </c>
      <c r="AA99" s="3" t="str">
        <f t="shared" si="5"/>
        <v>OK</v>
      </c>
    </row>
    <row r="100" ht="15.75" customHeight="1">
      <c r="A100" s="3">
        <v>99.0</v>
      </c>
      <c r="B100" s="3" t="s">
        <v>15</v>
      </c>
      <c r="C100" s="7">
        <v>40.719996</v>
      </c>
      <c r="D100" s="7">
        <v>-73.933373</v>
      </c>
      <c r="E100" s="3">
        <v>0.0</v>
      </c>
      <c r="F100" s="3" t="s">
        <v>55</v>
      </c>
      <c r="G100" s="5">
        <f>(C100-'Pesos GPS'!$L$4)/'Pesos GPS'!$L$5</f>
        <v>1.003186275</v>
      </c>
      <c r="H100" s="5">
        <f>(D100-'Pesos GPS'!$L$6)/'Pesos GPS'!$L$7</f>
        <v>-0.9993127182</v>
      </c>
      <c r="I100" s="5">
        <f>MAX(0,G100*'Pesos GPS'!B$6+H100*'Pesos GPS'!B$7+'Pesos GPS'!B$8)</f>
        <v>2.668439059</v>
      </c>
      <c r="J100" s="5">
        <f>MAX(0,G100*'Pesos GPS'!C$6+H100*'Pesos GPS'!C$7+'Pesos GPS'!C$8)</f>
        <v>0.3434967499</v>
      </c>
      <c r="K100" s="5">
        <f>MAX(0,G100*'Pesos GPS'!D$6+H100*'Pesos GPS'!D$7+'Pesos GPS'!D$8)</f>
        <v>0.4777635773</v>
      </c>
      <c r="L100" s="5">
        <f>MAX(0,G100*'Pesos GPS'!E$6+H100*'Pesos GPS'!E$7+'Pesos GPS'!E$8)</f>
        <v>1.791912874</v>
      </c>
      <c r="M100" s="5">
        <f>MAX(0,I100*'Pesos GPS'!B$13+J100*'Pesos GPS'!B$14+K100*'Pesos GPS'!B$15+L100*'Pesos GPS'!B$16+'Pesos GPS'!B$17)</f>
        <v>0</v>
      </c>
      <c r="N100" s="5">
        <f>MAX(0,I100*'Pesos GPS'!C$13+J100*'Pesos GPS'!C$14+K100*'Pesos GPS'!C$15+L100*'Pesos GPS'!C$16+'Pesos GPS'!C$17)</f>
        <v>0</v>
      </c>
      <c r="O100" s="5">
        <f>MAX(0,I100*'Pesos GPS'!D$13+J100*'Pesos GPS'!D$14+K100*'Pesos GPS'!D$15+L100*'Pesos GPS'!D$16+'Pesos GPS'!D$17)</f>
        <v>4.335447113</v>
      </c>
      <c r="P100" s="5">
        <f>MAX(0,I100*'Pesos GPS'!E$13+J100*'Pesos GPS'!E$14+K100*'Pesos GPS'!E$15+L100*'Pesos GPS'!E$16+'Pesos GPS'!E$17)</f>
        <v>3.452730357</v>
      </c>
      <c r="Q100" s="5">
        <f>MAX(0,I100*'Pesos GPS'!F$13+J100*'Pesos GPS'!F$14+K100*'Pesos GPS'!F$15+L100*'Pesos GPS'!F$16+'Pesos GPS'!F$17)</f>
        <v>0</v>
      </c>
      <c r="R100" s="5">
        <f>MAX(0,I100*'Pesos GPS'!G$13+J100*'Pesos GPS'!G$14+K100*'Pesos GPS'!G$15+L100*'Pesos GPS'!G$16+'Pesos GPS'!G$17)</f>
        <v>1.081139926</v>
      </c>
      <c r="S100" s="5">
        <f>MAX(0,I100*'Pesos GPS'!H$13+J100*'Pesos GPS'!H$14+K100*'Pesos GPS'!H$15+L100*'Pesos GPS'!H$16+'Pesos GPS'!H$17)</f>
        <v>0</v>
      </c>
      <c r="T100" s="5">
        <f>MAX(0,I100*'Pesos GPS'!I$13+J100*'Pesos GPS'!I$14+K100*'Pesos GPS'!I$15+L100*'Pesos GPS'!I$16+'Pesos GPS'!I$17)</f>
        <v>0</v>
      </c>
      <c r="U100" s="5">
        <f>M100*'Pesos GPS'!$B$22+N100*'Pesos GPS'!$B$23+O100*'Pesos GPS'!$B$24+P100*'Pesos GPS'!$B$25+Q100*'Pesos GPS'!$B$26+R100*'Pesos GPS'!$B$27+S100*'Pesos GPS'!$B$28+T100*'Pesos GPS'!$B$29+'Pesos GPS'!$B$30</f>
        <v>-4.199929942</v>
      </c>
      <c r="V100" s="5">
        <f t="shared" si="1"/>
        <v>0.01477505148</v>
      </c>
      <c r="W100" s="3">
        <f t="shared" si="2"/>
        <v>0</v>
      </c>
      <c r="X100" s="3">
        <f t="shared" si="3"/>
        <v>1</v>
      </c>
      <c r="Y100" s="9">
        <f t="shared" si="4"/>
        <v>0</v>
      </c>
      <c r="Z100" s="9">
        <v>0.014775051478506539</v>
      </c>
      <c r="AA100" s="3" t="str">
        <f t="shared" si="5"/>
        <v>OK</v>
      </c>
    </row>
    <row r="101" ht="15.75" customHeight="1">
      <c r="A101" s="3">
        <v>100.0</v>
      </c>
      <c r="B101" s="3" t="s">
        <v>15</v>
      </c>
      <c r="C101" s="7">
        <v>40.696501</v>
      </c>
      <c r="D101" s="7">
        <v>-74.035289</v>
      </c>
      <c r="E101" s="3">
        <v>0.0</v>
      </c>
      <c r="F101" s="3" t="s">
        <v>55</v>
      </c>
      <c r="G101" s="5">
        <f>(C101-'Pesos GPS'!$L$4)/'Pesos GPS'!$L$5</f>
        <v>0.9938539881</v>
      </c>
      <c r="H101" s="5">
        <f>(D101-'Pesos GPS'!$L$6)/'Pesos GPS'!$L$7</f>
        <v>-1.00026674</v>
      </c>
      <c r="I101" s="5">
        <f>MAX(0,G101*'Pesos GPS'!B$6+H101*'Pesos GPS'!B$7+'Pesos GPS'!B$8)</f>
        <v>2.666304172</v>
      </c>
      <c r="J101" s="5">
        <f>MAX(0,G101*'Pesos GPS'!C$6+H101*'Pesos GPS'!C$7+'Pesos GPS'!C$8)</f>
        <v>0.3542058865</v>
      </c>
      <c r="K101" s="5">
        <f>MAX(0,G101*'Pesos GPS'!D$6+H101*'Pesos GPS'!D$7+'Pesos GPS'!D$8)</f>
        <v>0.471049258</v>
      </c>
      <c r="L101" s="5">
        <f>MAX(0,G101*'Pesos GPS'!E$6+H101*'Pesos GPS'!E$7+'Pesos GPS'!E$8)</f>
        <v>1.781951657</v>
      </c>
      <c r="M101" s="5">
        <f>MAX(0,I101*'Pesos GPS'!B$13+J101*'Pesos GPS'!B$14+K101*'Pesos GPS'!B$15+L101*'Pesos GPS'!B$16+'Pesos GPS'!B$17)</f>
        <v>0</v>
      </c>
      <c r="N101" s="5">
        <f>MAX(0,I101*'Pesos GPS'!C$13+J101*'Pesos GPS'!C$14+K101*'Pesos GPS'!C$15+L101*'Pesos GPS'!C$16+'Pesos GPS'!C$17)</f>
        <v>0</v>
      </c>
      <c r="O101" s="5">
        <f>MAX(0,I101*'Pesos GPS'!D$13+J101*'Pesos GPS'!D$14+K101*'Pesos GPS'!D$15+L101*'Pesos GPS'!D$16+'Pesos GPS'!D$17)</f>
        <v>4.330659629</v>
      </c>
      <c r="P101" s="5">
        <f>MAX(0,I101*'Pesos GPS'!E$13+J101*'Pesos GPS'!E$14+K101*'Pesos GPS'!E$15+L101*'Pesos GPS'!E$16+'Pesos GPS'!E$17)</f>
        <v>3.440533977</v>
      </c>
      <c r="Q101" s="5">
        <f>MAX(0,I101*'Pesos GPS'!F$13+J101*'Pesos GPS'!F$14+K101*'Pesos GPS'!F$15+L101*'Pesos GPS'!F$16+'Pesos GPS'!F$17)</f>
        <v>0</v>
      </c>
      <c r="R101" s="5">
        <f>MAX(0,I101*'Pesos GPS'!G$13+J101*'Pesos GPS'!G$14+K101*'Pesos GPS'!G$15+L101*'Pesos GPS'!G$16+'Pesos GPS'!G$17)</f>
        <v>1.078071221</v>
      </c>
      <c r="S101" s="5">
        <f>MAX(0,I101*'Pesos GPS'!H$13+J101*'Pesos GPS'!H$14+K101*'Pesos GPS'!H$15+L101*'Pesos GPS'!H$16+'Pesos GPS'!H$17)</f>
        <v>0.003108233482</v>
      </c>
      <c r="T101" s="5">
        <f>MAX(0,I101*'Pesos GPS'!I$13+J101*'Pesos GPS'!I$14+K101*'Pesos GPS'!I$15+L101*'Pesos GPS'!I$16+'Pesos GPS'!I$17)</f>
        <v>0</v>
      </c>
      <c r="U101" s="5">
        <f>M101*'Pesos GPS'!$B$22+N101*'Pesos GPS'!$B$23+O101*'Pesos GPS'!$B$24+P101*'Pesos GPS'!$B$25+Q101*'Pesos GPS'!$B$26+R101*'Pesos GPS'!$B$27+S101*'Pesos GPS'!$B$28+T101*'Pesos GPS'!$B$29+'Pesos GPS'!$B$30</f>
        <v>-4.186988358</v>
      </c>
      <c r="V101" s="5">
        <f t="shared" si="1"/>
        <v>0.01496462668</v>
      </c>
      <c r="W101" s="3">
        <f t="shared" si="2"/>
        <v>0</v>
      </c>
      <c r="X101" s="3">
        <f t="shared" si="3"/>
        <v>1</v>
      </c>
      <c r="Y101" s="9">
        <f t="shared" si="4"/>
        <v>0</v>
      </c>
      <c r="Z101" s="9">
        <v>0.0149646266782149</v>
      </c>
      <c r="AA101" s="3" t="str">
        <f t="shared" si="5"/>
        <v>OK</v>
      </c>
    </row>
    <row r="102" ht="15.75" customHeight="1">
      <c r="A102" s="3">
        <v>101.0</v>
      </c>
      <c r="B102" s="3" t="s">
        <v>15</v>
      </c>
      <c r="C102" s="7">
        <v>40.705993</v>
      </c>
      <c r="D102" s="7">
        <v>-74.015206</v>
      </c>
      <c r="E102" s="3">
        <v>0.0</v>
      </c>
      <c r="F102" s="3" t="s">
        <v>55</v>
      </c>
      <c r="G102" s="5">
        <f>(C102-'Pesos GPS'!$L$4)/'Pesos GPS'!$L$5</f>
        <v>0.9976242401</v>
      </c>
      <c r="H102" s="5">
        <f>(D102-'Pesos GPS'!$L$6)/'Pesos GPS'!$L$7</f>
        <v>-1.000078746</v>
      </c>
      <c r="I102" s="5">
        <f>MAX(0,G102*'Pesos GPS'!B$6+H102*'Pesos GPS'!B$7+'Pesos GPS'!B$8)</f>
        <v>2.667579025</v>
      </c>
      <c r="J102" s="5">
        <f>MAX(0,G102*'Pesos GPS'!C$6+H102*'Pesos GPS'!C$7+'Pesos GPS'!C$8)</f>
        <v>0.3501421003</v>
      </c>
      <c r="K102" s="5">
        <f>MAX(0,G102*'Pesos GPS'!D$6+H102*'Pesos GPS'!D$7+'Pesos GPS'!D$8)</f>
        <v>0.4737269211</v>
      </c>
      <c r="L102" s="5">
        <f>MAX(0,G102*'Pesos GPS'!E$6+H102*'Pesos GPS'!E$7+'Pesos GPS'!E$8)</f>
        <v>1.786073438</v>
      </c>
      <c r="M102" s="5">
        <f>MAX(0,I102*'Pesos GPS'!B$13+J102*'Pesos GPS'!B$14+K102*'Pesos GPS'!B$15+L102*'Pesos GPS'!B$16+'Pesos GPS'!B$17)</f>
        <v>0</v>
      </c>
      <c r="N102" s="5">
        <f>MAX(0,I102*'Pesos GPS'!C$13+J102*'Pesos GPS'!C$14+K102*'Pesos GPS'!C$15+L102*'Pesos GPS'!C$16+'Pesos GPS'!C$17)</f>
        <v>0</v>
      </c>
      <c r="O102" s="5">
        <f>MAX(0,I102*'Pesos GPS'!D$13+J102*'Pesos GPS'!D$14+K102*'Pesos GPS'!D$15+L102*'Pesos GPS'!D$16+'Pesos GPS'!D$17)</f>
        <v>4.333232791</v>
      </c>
      <c r="P102" s="5">
        <f>MAX(0,I102*'Pesos GPS'!E$13+J102*'Pesos GPS'!E$14+K102*'Pesos GPS'!E$15+L102*'Pesos GPS'!E$16+'Pesos GPS'!E$17)</f>
        <v>3.445803655</v>
      </c>
      <c r="Q102" s="5">
        <f>MAX(0,I102*'Pesos GPS'!F$13+J102*'Pesos GPS'!F$14+K102*'Pesos GPS'!F$15+L102*'Pesos GPS'!F$16+'Pesos GPS'!F$17)</f>
        <v>0</v>
      </c>
      <c r="R102" s="5">
        <f>MAX(0,I102*'Pesos GPS'!G$13+J102*'Pesos GPS'!G$14+K102*'Pesos GPS'!G$15+L102*'Pesos GPS'!G$16+'Pesos GPS'!G$17)</f>
        <v>1.079449501</v>
      </c>
      <c r="S102" s="5">
        <f>MAX(0,I102*'Pesos GPS'!H$13+J102*'Pesos GPS'!H$14+K102*'Pesos GPS'!H$15+L102*'Pesos GPS'!H$16+'Pesos GPS'!H$17)</f>
        <v>0.0008923732507</v>
      </c>
      <c r="T102" s="5">
        <f>MAX(0,I102*'Pesos GPS'!I$13+J102*'Pesos GPS'!I$14+K102*'Pesos GPS'!I$15+L102*'Pesos GPS'!I$16+'Pesos GPS'!I$17)</f>
        <v>0</v>
      </c>
      <c r="U102" s="5">
        <f>M102*'Pesos GPS'!$B$22+N102*'Pesos GPS'!$B$23+O102*'Pesos GPS'!$B$24+P102*'Pesos GPS'!$B$25+Q102*'Pesos GPS'!$B$26+R102*'Pesos GPS'!$B$27+S102*'Pesos GPS'!$B$28+T102*'Pesos GPS'!$B$29+'Pesos GPS'!$B$30</f>
        <v>-4.193392096</v>
      </c>
      <c r="V102" s="5">
        <f t="shared" si="1"/>
        <v>0.01487052379</v>
      </c>
      <c r="W102" s="3">
        <f t="shared" si="2"/>
        <v>0</v>
      </c>
      <c r="X102" s="3">
        <f t="shared" si="3"/>
        <v>1</v>
      </c>
      <c r="Y102" s="9">
        <f t="shared" si="4"/>
        <v>0</v>
      </c>
      <c r="Z102" s="9">
        <v>0.014870523794645507</v>
      </c>
      <c r="AA102" s="3" t="str">
        <f t="shared" si="5"/>
        <v>OK</v>
      </c>
    </row>
    <row r="103" ht="15.75" customHeight="1">
      <c r="A103" s="3">
        <v>102.0</v>
      </c>
      <c r="B103" s="3" t="s">
        <v>15</v>
      </c>
      <c r="C103" s="7">
        <v>40.736186</v>
      </c>
      <c r="D103" s="7">
        <v>-73.997461</v>
      </c>
      <c r="E103" s="3">
        <v>0.0</v>
      </c>
      <c r="F103" s="3" t="s">
        <v>55</v>
      </c>
      <c r="G103" s="5">
        <f>(C103-'Pesos GPS'!$L$4)/'Pesos GPS'!$L$5</f>
        <v>1.009616994</v>
      </c>
      <c r="H103" s="5">
        <f>(D103-'Pesos GPS'!$L$6)/'Pesos GPS'!$L$7</f>
        <v>-0.9999126375</v>
      </c>
      <c r="I103" s="5">
        <f>MAX(0,G103*'Pesos GPS'!B$6+H103*'Pesos GPS'!B$7+'Pesos GPS'!B$8)</f>
        <v>2.672536224</v>
      </c>
      <c r="J103" s="5">
        <f>MAX(0,G103*'Pesos GPS'!C$6+H103*'Pesos GPS'!C$7+'Pesos GPS'!C$8)</f>
        <v>0.3377903326</v>
      </c>
      <c r="K103" s="5">
        <f>MAX(0,G103*'Pesos GPS'!D$6+H103*'Pesos GPS'!D$7+'Pesos GPS'!D$8)</f>
        <v>0.4821678667</v>
      </c>
      <c r="L103" s="5">
        <f>MAX(0,G103*'Pesos GPS'!E$6+H103*'Pesos GPS'!E$7+'Pesos GPS'!E$8)</f>
        <v>1.799397519</v>
      </c>
      <c r="M103" s="5">
        <f>MAX(0,I103*'Pesos GPS'!B$13+J103*'Pesos GPS'!B$14+K103*'Pesos GPS'!B$15+L103*'Pesos GPS'!B$16+'Pesos GPS'!B$17)</f>
        <v>0</v>
      </c>
      <c r="N103" s="5">
        <f>MAX(0,I103*'Pesos GPS'!C$13+J103*'Pesos GPS'!C$14+K103*'Pesos GPS'!C$15+L103*'Pesos GPS'!C$16+'Pesos GPS'!C$17)</f>
        <v>0</v>
      </c>
      <c r="O103" s="5">
        <f>MAX(0,I103*'Pesos GPS'!D$13+J103*'Pesos GPS'!D$14+K103*'Pesos GPS'!D$15+L103*'Pesos GPS'!D$16+'Pesos GPS'!D$17)</f>
        <v>4.342815579</v>
      </c>
      <c r="P103" s="5">
        <f>MAX(0,I103*'Pesos GPS'!E$13+J103*'Pesos GPS'!E$14+K103*'Pesos GPS'!E$15+L103*'Pesos GPS'!E$16+'Pesos GPS'!E$17)</f>
        <v>3.463314763</v>
      </c>
      <c r="Q103" s="5">
        <f>MAX(0,I103*'Pesos GPS'!F$13+J103*'Pesos GPS'!F$14+K103*'Pesos GPS'!F$15+L103*'Pesos GPS'!F$16+'Pesos GPS'!F$17)</f>
        <v>0</v>
      </c>
      <c r="R103" s="5">
        <f>MAX(0,I103*'Pesos GPS'!G$13+J103*'Pesos GPS'!G$14+K103*'Pesos GPS'!G$15+L103*'Pesos GPS'!G$16+'Pesos GPS'!G$17)</f>
        <v>1.084136672</v>
      </c>
      <c r="S103" s="5">
        <f>MAX(0,I103*'Pesos GPS'!H$13+J103*'Pesos GPS'!H$14+K103*'Pesos GPS'!H$15+L103*'Pesos GPS'!H$16+'Pesos GPS'!H$17)</f>
        <v>0</v>
      </c>
      <c r="T103" s="5">
        <f>MAX(0,I103*'Pesos GPS'!I$13+J103*'Pesos GPS'!I$14+K103*'Pesos GPS'!I$15+L103*'Pesos GPS'!I$16+'Pesos GPS'!I$17)</f>
        <v>0</v>
      </c>
      <c r="U103" s="5">
        <f>M103*'Pesos GPS'!$B$22+N103*'Pesos GPS'!$B$23+O103*'Pesos GPS'!$B$24+P103*'Pesos GPS'!$B$25+Q103*'Pesos GPS'!$B$26+R103*'Pesos GPS'!$B$27+S103*'Pesos GPS'!$B$28+T103*'Pesos GPS'!$B$29+'Pesos GPS'!$B$30</f>
        <v>-4.213776595</v>
      </c>
      <c r="V103" s="5">
        <f t="shared" si="1"/>
        <v>0.01457483761</v>
      </c>
      <c r="W103" s="3">
        <f t="shared" si="2"/>
        <v>0</v>
      </c>
      <c r="X103" s="3">
        <f t="shared" si="3"/>
        <v>1</v>
      </c>
      <c r="Y103" s="9">
        <f t="shared" si="4"/>
        <v>0</v>
      </c>
      <c r="Z103" s="9">
        <v>0.01457483760502867</v>
      </c>
      <c r="AA103" s="3" t="str">
        <f t="shared" si="5"/>
        <v>OK</v>
      </c>
    </row>
    <row r="104" ht="15.75" customHeight="1">
      <c r="A104" s="3">
        <v>103.0</v>
      </c>
      <c r="B104" s="3" t="s">
        <v>15</v>
      </c>
      <c r="C104" s="7">
        <v>40.706387</v>
      </c>
      <c r="D104" s="7">
        <v>-73.962783</v>
      </c>
      <c r="E104" s="3">
        <v>0.0</v>
      </c>
      <c r="F104" s="3" t="s">
        <v>55</v>
      </c>
      <c r="G104" s="5">
        <f>(C104-'Pesos GPS'!$L$4)/'Pesos GPS'!$L$5</f>
        <v>0.9977807381</v>
      </c>
      <c r="H104" s="5">
        <f>(D104-'Pesos GPS'!$L$6)/'Pesos GPS'!$L$7</f>
        <v>-0.9995880213</v>
      </c>
      <c r="I104" s="5">
        <f>MAX(0,G104*'Pesos GPS'!B$6+H104*'Pesos GPS'!B$7+'Pesos GPS'!B$8)</f>
        <v>2.666623308</v>
      </c>
      <c r="J104" s="5">
        <f>MAX(0,G104*'Pesos GPS'!C$6+H104*'Pesos GPS'!C$7+'Pesos GPS'!C$8)</f>
        <v>0.3493308141</v>
      </c>
      <c r="K104" s="5">
        <f>MAX(0,G104*'Pesos GPS'!D$6+H104*'Pesos GPS'!D$7+'Pesos GPS'!D$8)</f>
        <v>0.4739235009</v>
      </c>
      <c r="L104" s="5">
        <f>MAX(0,G104*'Pesos GPS'!E$6+H104*'Pesos GPS'!E$7+'Pesos GPS'!E$8)</f>
        <v>1.786006185</v>
      </c>
      <c r="M104" s="5">
        <f>MAX(0,I104*'Pesos GPS'!B$13+J104*'Pesos GPS'!B$14+K104*'Pesos GPS'!B$15+L104*'Pesos GPS'!B$16+'Pesos GPS'!B$17)</f>
        <v>0</v>
      </c>
      <c r="N104" s="5">
        <f>MAX(0,I104*'Pesos GPS'!C$13+J104*'Pesos GPS'!C$14+K104*'Pesos GPS'!C$15+L104*'Pesos GPS'!C$16+'Pesos GPS'!C$17)</f>
        <v>0</v>
      </c>
      <c r="O104" s="5">
        <f>MAX(0,I104*'Pesos GPS'!D$13+J104*'Pesos GPS'!D$14+K104*'Pesos GPS'!D$15+L104*'Pesos GPS'!D$16+'Pesos GPS'!D$17)</f>
        <v>4.331776557</v>
      </c>
      <c r="P104" s="5">
        <f>MAX(0,I104*'Pesos GPS'!E$13+J104*'Pesos GPS'!E$14+K104*'Pesos GPS'!E$15+L104*'Pesos GPS'!E$16+'Pesos GPS'!E$17)</f>
        <v>3.445185046</v>
      </c>
      <c r="Q104" s="5">
        <f>MAX(0,I104*'Pesos GPS'!F$13+J104*'Pesos GPS'!F$14+K104*'Pesos GPS'!F$15+L104*'Pesos GPS'!F$16+'Pesos GPS'!F$17)</f>
        <v>0</v>
      </c>
      <c r="R104" s="5">
        <f>MAX(0,I104*'Pesos GPS'!G$13+J104*'Pesos GPS'!G$14+K104*'Pesos GPS'!G$15+L104*'Pesos GPS'!G$16+'Pesos GPS'!G$17)</f>
        <v>1.079167887</v>
      </c>
      <c r="S104" s="5">
        <f>MAX(0,I104*'Pesos GPS'!H$13+J104*'Pesos GPS'!H$14+K104*'Pesos GPS'!H$15+L104*'Pesos GPS'!H$16+'Pesos GPS'!H$17)</f>
        <v>0.0004202201397</v>
      </c>
      <c r="T104" s="5">
        <f>MAX(0,I104*'Pesos GPS'!I$13+J104*'Pesos GPS'!I$14+K104*'Pesos GPS'!I$15+L104*'Pesos GPS'!I$16+'Pesos GPS'!I$17)</f>
        <v>0</v>
      </c>
      <c r="U104" s="5">
        <f>M104*'Pesos GPS'!$B$22+N104*'Pesos GPS'!$B$23+O104*'Pesos GPS'!$B$24+P104*'Pesos GPS'!$B$25+Q104*'Pesos GPS'!$B$26+R104*'Pesos GPS'!$B$27+S104*'Pesos GPS'!$B$28+T104*'Pesos GPS'!$B$29+'Pesos GPS'!$B$30</f>
        <v>-4.191627814</v>
      </c>
      <c r="V104" s="5">
        <f t="shared" si="1"/>
        <v>0.01489639158</v>
      </c>
      <c r="W104" s="3">
        <f t="shared" si="2"/>
        <v>0</v>
      </c>
      <c r="X104" s="3">
        <f t="shared" si="3"/>
        <v>1</v>
      </c>
      <c r="Y104" s="9">
        <f t="shared" si="4"/>
        <v>0</v>
      </c>
      <c r="Z104" s="9">
        <v>0.014896391584487852</v>
      </c>
      <c r="AA104" s="3" t="str">
        <f t="shared" si="5"/>
        <v>OK</v>
      </c>
    </row>
    <row r="105" ht="15.75" customHeight="1">
      <c r="A105" s="3">
        <v>104.0</v>
      </c>
      <c r="B105" s="3" t="s">
        <v>15</v>
      </c>
      <c r="C105" s="7">
        <v>40.726075</v>
      </c>
      <c r="D105" s="7">
        <v>-74.030671</v>
      </c>
      <c r="E105" s="3">
        <v>0.0</v>
      </c>
      <c r="F105" s="3" t="s">
        <v>55</v>
      </c>
      <c r="G105" s="5">
        <f>(C105-'Pesos GPS'!$L$4)/'Pesos GPS'!$L$5</f>
        <v>1.005600873</v>
      </c>
      <c r="H105" s="5">
        <f>(D105-'Pesos GPS'!$L$6)/'Pesos GPS'!$L$7</f>
        <v>-1.000223512</v>
      </c>
      <c r="I105" s="5">
        <f>MAX(0,G105*'Pesos GPS'!B$6+H105*'Pesos GPS'!B$7+'Pesos GPS'!B$8)</f>
        <v>2.671409277</v>
      </c>
      <c r="J105" s="5">
        <f>MAX(0,G105*'Pesos GPS'!C$6+H105*'Pesos GPS'!C$7+'Pesos GPS'!C$8)</f>
        <v>0.3422663279</v>
      </c>
      <c r="K105" s="5">
        <f>MAX(0,G105*'Pesos GPS'!D$6+H105*'Pesos GPS'!D$7+'Pesos GPS'!D$8)</f>
        <v>0.4792960158</v>
      </c>
      <c r="L105" s="5">
        <f>MAX(0,G105*'Pesos GPS'!E$6+H105*'Pesos GPS'!E$7+'Pesos GPS'!E$8)</f>
        <v>1.79506154</v>
      </c>
      <c r="M105" s="5">
        <f>MAX(0,I105*'Pesos GPS'!B$13+J105*'Pesos GPS'!B$14+K105*'Pesos GPS'!B$15+L105*'Pesos GPS'!B$16+'Pesos GPS'!B$17)</f>
        <v>0</v>
      </c>
      <c r="N105" s="5">
        <f>MAX(0,I105*'Pesos GPS'!C$13+J105*'Pesos GPS'!C$14+K105*'Pesos GPS'!C$15+L105*'Pesos GPS'!C$16+'Pesos GPS'!C$17)</f>
        <v>0</v>
      </c>
      <c r="O105" s="5">
        <f>MAX(0,I105*'Pesos GPS'!D$13+J105*'Pesos GPS'!D$14+K105*'Pesos GPS'!D$15+L105*'Pesos GPS'!D$16+'Pesos GPS'!D$17)</f>
        <v>4.340432652</v>
      </c>
      <c r="P105" s="5">
        <f>MAX(0,I105*'Pesos GPS'!E$13+J105*'Pesos GPS'!E$14+K105*'Pesos GPS'!E$15+L105*'Pesos GPS'!E$16+'Pesos GPS'!E$17)</f>
        <v>3.457893241</v>
      </c>
      <c r="Q105" s="5">
        <f>MAX(0,I105*'Pesos GPS'!F$13+J105*'Pesos GPS'!F$14+K105*'Pesos GPS'!F$15+L105*'Pesos GPS'!F$16+'Pesos GPS'!F$17)</f>
        <v>0</v>
      </c>
      <c r="R105" s="5">
        <f>MAX(0,I105*'Pesos GPS'!G$13+J105*'Pesos GPS'!G$14+K105*'Pesos GPS'!G$15+L105*'Pesos GPS'!G$16+'Pesos GPS'!G$17)</f>
        <v>1.082746124</v>
      </c>
      <c r="S105" s="5">
        <f>MAX(0,I105*'Pesos GPS'!H$13+J105*'Pesos GPS'!H$14+K105*'Pesos GPS'!H$15+L105*'Pesos GPS'!H$16+'Pesos GPS'!H$17)</f>
        <v>0</v>
      </c>
      <c r="T105" s="5">
        <f>MAX(0,I105*'Pesos GPS'!I$13+J105*'Pesos GPS'!I$14+K105*'Pesos GPS'!I$15+L105*'Pesos GPS'!I$16+'Pesos GPS'!I$17)</f>
        <v>0</v>
      </c>
      <c r="U105" s="5">
        <f>M105*'Pesos GPS'!$B$22+N105*'Pesos GPS'!$B$23+O105*'Pesos GPS'!$B$24+P105*'Pesos GPS'!$B$25+Q105*'Pesos GPS'!$B$26+R105*'Pesos GPS'!$B$27+S105*'Pesos GPS'!$B$28+T105*'Pesos GPS'!$B$29+'Pesos GPS'!$B$30</f>
        <v>-4.208177989</v>
      </c>
      <c r="V105" s="5">
        <f t="shared" si="1"/>
        <v>0.014655466</v>
      </c>
      <c r="W105" s="3">
        <f t="shared" si="2"/>
        <v>0</v>
      </c>
      <c r="X105" s="3">
        <f t="shared" si="3"/>
        <v>1</v>
      </c>
      <c r="Y105" s="9">
        <f t="shared" si="4"/>
        <v>0</v>
      </c>
      <c r="Z105" s="9">
        <v>0.014655465997674758</v>
      </c>
      <c r="AA105" s="3" t="str">
        <f t="shared" si="5"/>
        <v>OK</v>
      </c>
    </row>
    <row r="106" ht="15.75" customHeight="1">
      <c r="A106" s="3">
        <v>105.0</v>
      </c>
      <c r="B106" s="3" t="s">
        <v>15</v>
      </c>
      <c r="C106" s="7">
        <v>40.695995</v>
      </c>
      <c r="D106" s="7">
        <v>-74.012132</v>
      </c>
      <c r="E106" s="3">
        <v>0.0</v>
      </c>
      <c r="F106" s="3" t="s">
        <v>55</v>
      </c>
      <c r="G106" s="5">
        <f>(C106-'Pesos GPS'!$L$4)/'Pesos GPS'!$L$5</f>
        <v>0.9936530033</v>
      </c>
      <c r="H106" s="5">
        <f>(D106-'Pesos GPS'!$L$6)/'Pesos GPS'!$L$7</f>
        <v>-1.000049971</v>
      </c>
      <c r="I106" s="5">
        <f>MAX(0,G106*'Pesos GPS'!B$6+H106*'Pesos GPS'!B$7+'Pesos GPS'!B$8)</f>
        <v>2.665762533</v>
      </c>
      <c r="J106" s="5">
        <f>MAX(0,G106*'Pesos GPS'!C$6+H106*'Pesos GPS'!C$7+'Pesos GPS'!C$8)</f>
        <v>0.3541207371</v>
      </c>
      <c r="K106" s="5">
        <f>MAX(0,G106*'Pesos GPS'!D$6+H106*'Pesos GPS'!D$7+'Pesos GPS'!D$8)</f>
        <v>0.4709466386</v>
      </c>
      <c r="L106" s="5">
        <f>MAX(0,G106*'Pesos GPS'!E$6+H106*'Pesos GPS'!E$7+'Pesos GPS'!E$8)</f>
        <v>1.781620001</v>
      </c>
      <c r="M106" s="5">
        <f>MAX(0,I106*'Pesos GPS'!B$13+J106*'Pesos GPS'!B$14+K106*'Pesos GPS'!B$15+L106*'Pesos GPS'!B$16+'Pesos GPS'!B$17)</f>
        <v>0</v>
      </c>
      <c r="N106" s="5">
        <f>MAX(0,I106*'Pesos GPS'!C$13+J106*'Pesos GPS'!C$14+K106*'Pesos GPS'!C$15+L106*'Pesos GPS'!C$16+'Pesos GPS'!C$17)</f>
        <v>0</v>
      </c>
      <c r="O106" s="5">
        <f>MAX(0,I106*'Pesos GPS'!D$13+J106*'Pesos GPS'!D$14+K106*'Pesos GPS'!D$15+L106*'Pesos GPS'!D$16+'Pesos GPS'!D$17)</f>
        <v>4.329788417</v>
      </c>
      <c r="P106" s="5">
        <f>MAX(0,I106*'Pesos GPS'!E$13+J106*'Pesos GPS'!E$14+K106*'Pesos GPS'!E$15+L106*'Pesos GPS'!E$16+'Pesos GPS'!E$17)</f>
        <v>3.439859823</v>
      </c>
      <c r="Q106" s="5">
        <f>MAX(0,I106*'Pesos GPS'!F$13+J106*'Pesos GPS'!F$14+K106*'Pesos GPS'!F$15+L106*'Pesos GPS'!F$16+'Pesos GPS'!F$17)</f>
        <v>0</v>
      </c>
      <c r="R106" s="5">
        <f>MAX(0,I106*'Pesos GPS'!G$13+J106*'Pesos GPS'!G$14+K106*'Pesos GPS'!G$15+L106*'Pesos GPS'!G$16+'Pesos GPS'!G$17)</f>
        <v>1.077838627</v>
      </c>
      <c r="S106" s="5">
        <f>MAX(0,I106*'Pesos GPS'!H$13+J106*'Pesos GPS'!H$14+K106*'Pesos GPS'!H$15+L106*'Pesos GPS'!H$16+'Pesos GPS'!H$17)</f>
        <v>0.003047817197</v>
      </c>
      <c r="T106" s="5">
        <f>MAX(0,I106*'Pesos GPS'!I$13+J106*'Pesos GPS'!I$14+K106*'Pesos GPS'!I$15+L106*'Pesos GPS'!I$16+'Pesos GPS'!I$17)</f>
        <v>0</v>
      </c>
      <c r="U106" s="5">
        <f>M106*'Pesos GPS'!$B$22+N106*'Pesos GPS'!$B$23+O106*'Pesos GPS'!$B$24+P106*'Pesos GPS'!$B$25+Q106*'Pesos GPS'!$B$26+R106*'Pesos GPS'!$B$27+S106*'Pesos GPS'!$B$28+T106*'Pesos GPS'!$B$29+'Pesos GPS'!$B$30</f>
        <v>-4.185693608</v>
      </c>
      <c r="V106" s="5">
        <f t="shared" si="1"/>
        <v>0.01498372417</v>
      </c>
      <c r="W106" s="3">
        <f t="shared" si="2"/>
        <v>0</v>
      </c>
      <c r="X106" s="3">
        <f t="shared" si="3"/>
        <v>1</v>
      </c>
      <c r="Y106" s="9">
        <f t="shared" si="4"/>
        <v>0</v>
      </c>
      <c r="Z106" s="9">
        <v>0.01498372417016013</v>
      </c>
      <c r="AA106" s="3" t="str">
        <f t="shared" si="5"/>
        <v>OK</v>
      </c>
    </row>
    <row r="107" ht="15.75" customHeight="1">
      <c r="A107" s="3">
        <v>106.0</v>
      </c>
      <c r="B107" s="3" t="s">
        <v>15</v>
      </c>
      <c r="C107" s="7">
        <v>40.709102</v>
      </c>
      <c r="D107" s="7">
        <v>-73.986567</v>
      </c>
      <c r="E107" s="3">
        <v>0.0</v>
      </c>
      <c r="F107" s="3" t="s">
        <v>55</v>
      </c>
      <c r="G107" s="5">
        <f>(C107-'Pesos GPS'!$L$4)/'Pesos GPS'!$L$5</f>
        <v>0.9988591445</v>
      </c>
      <c r="H107" s="5">
        <f>(D107-'Pesos GPS'!$L$6)/'Pesos GPS'!$L$7</f>
        <v>-0.9998106602</v>
      </c>
      <c r="I107" s="5">
        <f>MAX(0,G107*'Pesos GPS'!B$6+H107*'Pesos GPS'!B$7+'Pesos GPS'!B$8)</f>
        <v>2.66756527</v>
      </c>
      <c r="J107" s="5">
        <f>MAX(0,G107*'Pesos GPS'!C$6+H107*'Pesos GPS'!C$7+'Pesos GPS'!C$8)</f>
        <v>0.3485362568</v>
      </c>
      <c r="K107" s="5">
        <f>MAX(0,G107*'Pesos GPS'!D$6+H107*'Pesos GPS'!D$7+'Pesos GPS'!D$8)</f>
        <v>0.4746404939</v>
      </c>
      <c r="L107" s="5">
        <f>MAX(0,G107*'Pesos GPS'!E$6+H107*'Pesos GPS'!E$7+'Pesos GPS'!E$8)</f>
        <v>1.78732156</v>
      </c>
      <c r="M107" s="5">
        <f>MAX(0,I107*'Pesos GPS'!B$13+J107*'Pesos GPS'!B$14+K107*'Pesos GPS'!B$15+L107*'Pesos GPS'!B$16+'Pesos GPS'!B$17)</f>
        <v>0</v>
      </c>
      <c r="N107" s="5">
        <f>MAX(0,I107*'Pesos GPS'!C$13+J107*'Pesos GPS'!C$14+K107*'Pesos GPS'!C$15+L107*'Pesos GPS'!C$16+'Pesos GPS'!C$17)</f>
        <v>0</v>
      </c>
      <c r="O107" s="5">
        <f>MAX(0,I107*'Pesos GPS'!D$13+J107*'Pesos GPS'!D$14+K107*'Pesos GPS'!D$15+L107*'Pesos GPS'!D$16+'Pesos GPS'!D$17)</f>
        <v>4.333407202</v>
      </c>
      <c r="P107" s="5">
        <f>MAX(0,I107*'Pesos GPS'!E$13+J107*'Pesos GPS'!E$14+K107*'Pesos GPS'!E$15+L107*'Pesos GPS'!E$16+'Pesos GPS'!E$17)</f>
        <v>3.447171608</v>
      </c>
      <c r="Q107" s="5">
        <f>MAX(0,I107*'Pesos GPS'!F$13+J107*'Pesos GPS'!F$14+K107*'Pesos GPS'!F$15+L107*'Pesos GPS'!F$16+'Pesos GPS'!F$17)</f>
        <v>0</v>
      </c>
      <c r="R107" s="5">
        <f>MAX(0,I107*'Pesos GPS'!G$13+J107*'Pesos GPS'!G$14+K107*'Pesos GPS'!G$15+L107*'Pesos GPS'!G$16+'Pesos GPS'!G$17)</f>
        <v>1.079756051</v>
      </c>
      <c r="S107" s="5">
        <f>MAX(0,I107*'Pesos GPS'!H$13+J107*'Pesos GPS'!H$14+K107*'Pesos GPS'!H$15+L107*'Pesos GPS'!H$16+'Pesos GPS'!H$17)</f>
        <v>0.00000401906453</v>
      </c>
      <c r="T107" s="5">
        <f>MAX(0,I107*'Pesos GPS'!I$13+J107*'Pesos GPS'!I$14+K107*'Pesos GPS'!I$15+L107*'Pesos GPS'!I$16+'Pesos GPS'!I$17)</f>
        <v>0</v>
      </c>
      <c r="U107" s="5">
        <f>M107*'Pesos GPS'!$B$22+N107*'Pesos GPS'!$B$23+O107*'Pesos GPS'!$B$24+P107*'Pesos GPS'!$B$25+Q107*'Pesos GPS'!$B$26+R107*'Pesos GPS'!$B$27+S107*'Pesos GPS'!$B$28+T107*'Pesos GPS'!$B$29+'Pesos GPS'!$B$30</f>
        <v>-4.194621446</v>
      </c>
      <c r="V107" s="5">
        <f t="shared" si="1"/>
        <v>0.01485252529</v>
      </c>
      <c r="W107" s="3">
        <f t="shared" si="2"/>
        <v>0</v>
      </c>
      <c r="X107" s="3">
        <f t="shared" si="3"/>
        <v>1</v>
      </c>
      <c r="Y107" s="9">
        <f t="shared" si="4"/>
        <v>0</v>
      </c>
      <c r="Z107" s="9">
        <v>0.014852525293337047</v>
      </c>
      <c r="AA107" s="3" t="str">
        <f t="shared" si="5"/>
        <v>OK</v>
      </c>
    </row>
    <row r="108" ht="15.75" customHeight="1">
      <c r="A108" s="3">
        <v>107.0</v>
      </c>
      <c r="B108" s="3" t="s">
        <v>15</v>
      </c>
      <c r="C108" s="7">
        <v>40.6957</v>
      </c>
      <c r="D108" s="7">
        <v>-73.995131</v>
      </c>
      <c r="E108" s="3">
        <v>0.0</v>
      </c>
      <c r="F108" s="3" t="s">
        <v>55</v>
      </c>
      <c r="G108" s="5">
        <f>(C108-'Pesos GPS'!$L$4)/'Pesos GPS'!$L$5</f>
        <v>0.9935358284</v>
      </c>
      <c r="H108" s="5">
        <f>(D108-'Pesos GPS'!$L$6)/'Pesos GPS'!$L$7</f>
        <v>-0.9998908267</v>
      </c>
      <c r="I108" s="5">
        <f>MAX(0,G108*'Pesos GPS'!B$6+H108*'Pesos GPS'!B$7+'Pesos GPS'!B$8)</f>
        <v>2.665378319</v>
      </c>
      <c r="J108" s="5">
        <f>MAX(0,G108*'Pesos GPS'!C$6+H108*'Pesos GPS'!C$7+'Pesos GPS'!C$8)</f>
        <v>0.3540274935</v>
      </c>
      <c r="K108" s="5">
        <f>MAX(0,G108*'Pesos GPS'!D$6+H108*'Pesos GPS'!D$7+'Pesos GPS'!D$8)</f>
        <v>0.4708926078</v>
      </c>
      <c r="L108" s="5">
        <f>MAX(0,G108*'Pesos GPS'!E$6+H108*'Pesos GPS'!E$7+'Pesos GPS'!E$8)</f>
        <v>1.781410473</v>
      </c>
      <c r="M108" s="5">
        <f>MAX(0,I108*'Pesos GPS'!B$13+J108*'Pesos GPS'!B$14+K108*'Pesos GPS'!B$15+L108*'Pesos GPS'!B$16+'Pesos GPS'!B$17)</f>
        <v>0</v>
      </c>
      <c r="N108" s="5">
        <f>MAX(0,I108*'Pesos GPS'!C$13+J108*'Pesos GPS'!C$14+K108*'Pesos GPS'!C$15+L108*'Pesos GPS'!C$16+'Pesos GPS'!C$17)</f>
        <v>0</v>
      </c>
      <c r="O108" s="5">
        <f>MAX(0,I108*'Pesos GPS'!D$13+J108*'Pesos GPS'!D$14+K108*'Pesos GPS'!D$15+L108*'Pesos GPS'!D$16+'Pesos GPS'!D$17)</f>
        <v>4.329174443</v>
      </c>
      <c r="P108" s="5">
        <f>MAX(0,I108*'Pesos GPS'!E$13+J108*'Pesos GPS'!E$14+K108*'Pesos GPS'!E$15+L108*'Pesos GPS'!E$16+'Pesos GPS'!E$17)</f>
        <v>3.439409974</v>
      </c>
      <c r="Q108" s="5">
        <f>MAX(0,I108*'Pesos GPS'!F$13+J108*'Pesos GPS'!F$14+K108*'Pesos GPS'!F$15+L108*'Pesos GPS'!F$16+'Pesos GPS'!F$17)</f>
        <v>0</v>
      </c>
      <c r="R108" s="5">
        <f>MAX(0,I108*'Pesos GPS'!G$13+J108*'Pesos GPS'!G$14+K108*'Pesos GPS'!G$15+L108*'Pesos GPS'!G$16+'Pesos GPS'!G$17)</f>
        <v>1.077680035</v>
      </c>
      <c r="S108" s="5">
        <f>MAX(0,I108*'Pesos GPS'!H$13+J108*'Pesos GPS'!H$14+K108*'Pesos GPS'!H$15+L108*'Pesos GPS'!H$16+'Pesos GPS'!H$17)</f>
        <v>0.002986799059</v>
      </c>
      <c r="T108" s="5">
        <f>MAX(0,I108*'Pesos GPS'!I$13+J108*'Pesos GPS'!I$14+K108*'Pesos GPS'!I$15+L108*'Pesos GPS'!I$16+'Pesos GPS'!I$17)</f>
        <v>0</v>
      </c>
      <c r="U108" s="5">
        <f>M108*'Pesos GPS'!$B$22+N108*'Pesos GPS'!$B$23+O108*'Pesos GPS'!$B$24+P108*'Pesos GPS'!$B$25+Q108*'Pesos GPS'!$B$26+R108*'Pesos GPS'!$B$27+S108*'Pesos GPS'!$B$28+T108*'Pesos GPS'!$B$29+'Pesos GPS'!$B$30</f>
        <v>-4.184801021</v>
      </c>
      <c r="V108" s="5">
        <f t="shared" si="1"/>
        <v>0.01499690376</v>
      </c>
      <c r="W108" s="3">
        <f t="shared" si="2"/>
        <v>0</v>
      </c>
      <c r="X108" s="3">
        <f t="shared" si="3"/>
        <v>1</v>
      </c>
      <c r="Y108" s="9">
        <f t="shared" si="4"/>
        <v>0</v>
      </c>
      <c r="Z108" s="9">
        <v>0.014996903763616213</v>
      </c>
      <c r="AA108" s="3" t="str">
        <f t="shared" si="5"/>
        <v>OK</v>
      </c>
    </row>
    <row r="109" ht="15.75" customHeight="1">
      <c r="A109" s="3">
        <v>108.0</v>
      </c>
      <c r="B109" s="3" t="s">
        <v>15</v>
      </c>
      <c r="C109" s="7">
        <v>40.706697</v>
      </c>
      <c r="D109" s="7">
        <v>-74.015404</v>
      </c>
      <c r="E109" s="3">
        <v>0.0</v>
      </c>
      <c r="F109" s="3" t="s">
        <v>55</v>
      </c>
      <c r="G109" s="5">
        <f>(C109-'Pesos GPS'!$L$4)/'Pesos GPS'!$L$5</f>
        <v>0.9979038711</v>
      </c>
      <c r="H109" s="5">
        <f>(D109-'Pesos GPS'!$L$6)/'Pesos GPS'!$L$7</f>
        <v>-1.0000806</v>
      </c>
      <c r="I109" s="5">
        <f>MAX(0,G109*'Pesos GPS'!B$6+H109*'Pesos GPS'!B$7+'Pesos GPS'!B$8)</f>
        <v>2.667706571</v>
      </c>
      <c r="J109" s="5">
        <f>MAX(0,G109*'Pesos GPS'!C$6+H109*'Pesos GPS'!C$7+'Pesos GPS'!C$8)</f>
        <v>0.3498617184</v>
      </c>
      <c r="K109" s="5">
        <f>MAX(0,G109*'Pesos GPS'!D$6+H109*'Pesos GPS'!D$7+'Pesos GPS'!D$8)</f>
        <v>0.4739227227</v>
      </c>
      <c r="L109" s="5">
        <f>MAX(0,G109*'Pesos GPS'!E$6+H109*'Pesos GPS'!E$7+'Pesos GPS'!E$8)</f>
        <v>1.786386937</v>
      </c>
      <c r="M109" s="5">
        <f>MAX(0,I109*'Pesos GPS'!B$13+J109*'Pesos GPS'!B$14+K109*'Pesos GPS'!B$15+L109*'Pesos GPS'!B$16+'Pesos GPS'!B$17)</f>
        <v>0</v>
      </c>
      <c r="N109" s="5">
        <f>MAX(0,I109*'Pesos GPS'!C$13+J109*'Pesos GPS'!C$14+K109*'Pesos GPS'!C$15+L109*'Pesos GPS'!C$16+'Pesos GPS'!C$17)</f>
        <v>0</v>
      </c>
      <c r="O109" s="5">
        <f>MAX(0,I109*'Pesos GPS'!D$13+J109*'Pesos GPS'!D$14+K109*'Pesos GPS'!D$15+L109*'Pesos GPS'!D$16+'Pesos GPS'!D$17)</f>
        <v>4.333474765</v>
      </c>
      <c r="P109" s="5">
        <f>MAX(0,I109*'Pesos GPS'!E$13+J109*'Pesos GPS'!E$14+K109*'Pesos GPS'!E$15+L109*'Pesos GPS'!E$16+'Pesos GPS'!E$17)</f>
        <v>3.446221885</v>
      </c>
      <c r="Q109" s="5">
        <f>MAX(0,I109*'Pesos GPS'!F$13+J109*'Pesos GPS'!F$14+K109*'Pesos GPS'!F$15+L109*'Pesos GPS'!F$16+'Pesos GPS'!F$17)</f>
        <v>0</v>
      </c>
      <c r="R109" s="5">
        <f>MAX(0,I109*'Pesos GPS'!G$13+J109*'Pesos GPS'!G$14+K109*'Pesos GPS'!G$15+L109*'Pesos GPS'!G$16+'Pesos GPS'!G$17)</f>
        <v>1.079562808</v>
      </c>
      <c r="S109" s="5">
        <f>MAX(0,I109*'Pesos GPS'!H$13+J109*'Pesos GPS'!H$14+K109*'Pesos GPS'!H$15+L109*'Pesos GPS'!H$16+'Pesos GPS'!H$17)</f>
        <v>0.0007404636579</v>
      </c>
      <c r="T109" s="5">
        <f>MAX(0,I109*'Pesos GPS'!I$13+J109*'Pesos GPS'!I$14+K109*'Pesos GPS'!I$15+L109*'Pesos GPS'!I$16+'Pesos GPS'!I$17)</f>
        <v>0</v>
      </c>
      <c r="U109" s="5">
        <f>M109*'Pesos GPS'!$B$22+N109*'Pesos GPS'!$B$23+O109*'Pesos GPS'!$B$24+P109*'Pesos GPS'!$B$25+Q109*'Pesos GPS'!$B$26+R109*'Pesos GPS'!$B$27+S109*'Pesos GPS'!$B$28+T109*'Pesos GPS'!$B$29+'Pesos GPS'!$B$30</f>
        <v>-4.193933451</v>
      </c>
      <c r="V109" s="5">
        <f t="shared" si="1"/>
        <v>0.01486259534</v>
      </c>
      <c r="W109" s="3">
        <f t="shared" si="2"/>
        <v>0</v>
      </c>
      <c r="X109" s="3">
        <f t="shared" si="3"/>
        <v>1</v>
      </c>
      <c r="Y109" s="9">
        <f t="shared" si="4"/>
        <v>0</v>
      </c>
      <c r="Z109" s="9">
        <v>0.014862595344009908</v>
      </c>
      <c r="AA109" s="3" t="str">
        <f t="shared" si="5"/>
        <v>OK</v>
      </c>
    </row>
    <row r="110" ht="15.75" customHeight="1">
      <c r="A110" s="3">
        <v>109.0</v>
      </c>
      <c r="B110" s="3" t="s">
        <v>15</v>
      </c>
      <c r="C110" s="7">
        <v>40.727926</v>
      </c>
      <c r="D110" s="7">
        <v>-74.009346</v>
      </c>
      <c r="E110" s="3">
        <v>0.0</v>
      </c>
      <c r="F110" s="3" t="s">
        <v>55</v>
      </c>
      <c r="G110" s="5">
        <f>(C110-'Pesos GPS'!$L$4)/'Pesos GPS'!$L$5</f>
        <v>1.006336096</v>
      </c>
      <c r="H110" s="5">
        <f>(D110-'Pesos GPS'!$L$6)/'Pesos GPS'!$L$7</f>
        <v>-1.000023891</v>
      </c>
      <c r="I110" s="5">
        <f>MAX(0,G110*'Pesos GPS'!B$6+H110*'Pesos GPS'!B$7+'Pesos GPS'!B$8)</f>
        <v>2.67131752</v>
      </c>
      <c r="J110" s="5">
        <f>MAX(0,G110*'Pesos GPS'!C$6+H110*'Pesos GPS'!C$7+'Pesos GPS'!C$8)</f>
        <v>0.3412570191</v>
      </c>
      <c r="K110" s="5">
        <f>MAX(0,G110*'Pesos GPS'!D$6+H110*'Pesos GPS'!D$7+'Pesos GPS'!D$8)</f>
        <v>0.4798470064</v>
      </c>
      <c r="L110" s="5">
        <f>MAX(0,G110*'Pesos GPS'!E$6+H110*'Pesos GPS'!E$7+'Pesos GPS'!E$8)</f>
        <v>1.795784886</v>
      </c>
      <c r="M110" s="5">
        <f>MAX(0,I110*'Pesos GPS'!B$13+J110*'Pesos GPS'!B$14+K110*'Pesos GPS'!B$15+L110*'Pesos GPS'!B$16+'Pesos GPS'!B$17)</f>
        <v>0</v>
      </c>
      <c r="N110" s="5">
        <f>MAX(0,I110*'Pesos GPS'!C$13+J110*'Pesos GPS'!C$14+K110*'Pesos GPS'!C$15+L110*'Pesos GPS'!C$16+'Pesos GPS'!C$17)</f>
        <v>0</v>
      </c>
      <c r="O110" s="5">
        <f>MAX(0,I110*'Pesos GPS'!D$13+J110*'Pesos GPS'!D$14+K110*'Pesos GPS'!D$15+L110*'Pesos GPS'!D$16+'Pesos GPS'!D$17)</f>
        <v>4.34040699</v>
      </c>
      <c r="P110" s="5">
        <f>MAX(0,I110*'Pesos GPS'!E$13+J110*'Pesos GPS'!E$14+K110*'Pesos GPS'!E$15+L110*'Pesos GPS'!E$16+'Pesos GPS'!E$17)</f>
        <v>3.458638302</v>
      </c>
      <c r="Q110" s="5">
        <f>MAX(0,I110*'Pesos GPS'!F$13+J110*'Pesos GPS'!F$14+K110*'Pesos GPS'!F$15+L110*'Pesos GPS'!F$16+'Pesos GPS'!F$17)</f>
        <v>0</v>
      </c>
      <c r="R110" s="5">
        <f>MAX(0,I110*'Pesos GPS'!G$13+J110*'Pesos GPS'!G$14+K110*'Pesos GPS'!G$15+L110*'Pesos GPS'!G$16+'Pesos GPS'!G$17)</f>
        <v>1.082900561</v>
      </c>
      <c r="S110" s="5">
        <f>MAX(0,I110*'Pesos GPS'!H$13+J110*'Pesos GPS'!H$14+K110*'Pesos GPS'!H$15+L110*'Pesos GPS'!H$16+'Pesos GPS'!H$17)</f>
        <v>0</v>
      </c>
      <c r="T110" s="5">
        <f>MAX(0,I110*'Pesos GPS'!I$13+J110*'Pesos GPS'!I$14+K110*'Pesos GPS'!I$15+L110*'Pesos GPS'!I$16+'Pesos GPS'!I$17)</f>
        <v>0</v>
      </c>
      <c r="U110" s="5">
        <f>M110*'Pesos GPS'!$B$22+N110*'Pesos GPS'!$B$23+O110*'Pesos GPS'!$B$24+P110*'Pesos GPS'!$B$25+Q110*'Pesos GPS'!$B$26+R110*'Pesos GPS'!$B$27+S110*'Pesos GPS'!$B$28+T110*'Pesos GPS'!$B$29+'Pesos GPS'!$B$30</f>
        <v>-4.208568215</v>
      </c>
      <c r="V110" s="5">
        <f t="shared" si="1"/>
        <v>0.01464983194</v>
      </c>
      <c r="W110" s="3">
        <f t="shared" si="2"/>
        <v>0</v>
      </c>
      <c r="X110" s="3">
        <f t="shared" si="3"/>
        <v>1</v>
      </c>
      <c r="Y110" s="9">
        <f t="shared" si="4"/>
        <v>0</v>
      </c>
      <c r="Z110" s="9">
        <v>0.01464983194231181</v>
      </c>
      <c r="AA110" s="3" t="str">
        <f t="shared" si="5"/>
        <v>OK</v>
      </c>
    </row>
    <row r="111" ht="15.75" customHeight="1">
      <c r="A111" s="3">
        <v>110.0</v>
      </c>
      <c r="B111" s="3" t="s">
        <v>15</v>
      </c>
      <c r="C111" s="7">
        <v>40.681708</v>
      </c>
      <c r="D111" s="7">
        <v>-74.040372</v>
      </c>
      <c r="E111" s="3">
        <v>0.0</v>
      </c>
      <c r="F111" s="3" t="s">
        <v>55</v>
      </c>
      <c r="G111" s="5">
        <f>(C111-'Pesos GPS'!$L$4)/'Pesos GPS'!$L$5</f>
        <v>0.9879781625</v>
      </c>
      <c r="H111" s="5">
        <f>(D111-'Pesos GPS'!$L$6)/'Pesos GPS'!$L$7</f>
        <v>-1.000314322</v>
      </c>
      <c r="I111" s="5">
        <f>MAX(0,G111*'Pesos GPS'!B$6+H111*'Pesos GPS'!B$7+'Pesos GPS'!B$8)</f>
        <v>2.6638048</v>
      </c>
      <c r="J111" s="5">
        <f>MAX(0,G111*'Pesos GPS'!C$6+H111*'Pesos GPS'!C$7+'Pesos GPS'!C$8)</f>
        <v>0.3602126297</v>
      </c>
      <c r="K111" s="5">
        <f>MAX(0,G111*'Pesos GPS'!D$6+H111*'Pesos GPS'!D$7+'Pesos GPS'!D$8)</f>
        <v>0.4669196136</v>
      </c>
      <c r="L111" s="5">
        <f>MAX(0,G111*'Pesos GPS'!E$6+H111*'Pesos GPS'!E$7+'Pesos GPS'!E$8)</f>
        <v>1.775406866</v>
      </c>
      <c r="M111" s="5">
        <f>MAX(0,I111*'Pesos GPS'!B$13+J111*'Pesos GPS'!B$14+K111*'Pesos GPS'!B$15+L111*'Pesos GPS'!B$16+'Pesos GPS'!B$17)</f>
        <v>0</v>
      </c>
      <c r="N111" s="5">
        <f>MAX(0,I111*'Pesos GPS'!C$13+J111*'Pesos GPS'!C$14+K111*'Pesos GPS'!C$15+L111*'Pesos GPS'!C$16+'Pesos GPS'!C$17)</f>
        <v>0</v>
      </c>
      <c r="O111" s="5">
        <f>MAX(0,I111*'Pesos GPS'!D$13+J111*'Pesos GPS'!D$14+K111*'Pesos GPS'!D$15+L111*'Pesos GPS'!D$16+'Pesos GPS'!D$17)</f>
        <v>4.325855152</v>
      </c>
      <c r="P111" s="5">
        <f>MAX(0,I111*'Pesos GPS'!E$13+J111*'Pesos GPS'!E$14+K111*'Pesos GPS'!E$15+L111*'Pesos GPS'!E$16+'Pesos GPS'!E$17)</f>
        <v>3.431895832</v>
      </c>
      <c r="Q111" s="5">
        <f>MAX(0,I111*'Pesos GPS'!F$13+J111*'Pesos GPS'!F$14+K111*'Pesos GPS'!F$15+L111*'Pesos GPS'!F$16+'Pesos GPS'!F$17)</f>
        <v>0</v>
      </c>
      <c r="R111" s="5">
        <f>MAX(0,I111*'Pesos GPS'!G$13+J111*'Pesos GPS'!G$14+K111*'Pesos GPS'!G$15+L111*'Pesos GPS'!G$16+'Pesos GPS'!G$17)</f>
        <v>1.075751034</v>
      </c>
      <c r="S111" s="5">
        <f>MAX(0,I111*'Pesos GPS'!H$13+J111*'Pesos GPS'!H$14+K111*'Pesos GPS'!H$15+L111*'Pesos GPS'!H$16+'Pesos GPS'!H$17)</f>
        <v>0.006368394977</v>
      </c>
      <c r="T111" s="5">
        <f>MAX(0,I111*'Pesos GPS'!I$13+J111*'Pesos GPS'!I$14+K111*'Pesos GPS'!I$15+L111*'Pesos GPS'!I$16+'Pesos GPS'!I$17)</f>
        <v>0</v>
      </c>
      <c r="U111" s="5">
        <f>M111*'Pesos GPS'!$B$22+N111*'Pesos GPS'!$B$23+O111*'Pesos GPS'!$B$24+P111*'Pesos GPS'!$B$25+Q111*'Pesos GPS'!$B$26+R111*'Pesos GPS'!$B$27+S111*'Pesos GPS'!$B$28+T111*'Pesos GPS'!$B$29+'Pesos GPS'!$B$30</f>
        <v>-4.175976707</v>
      </c>
      <c r="V111" s="5">
        <f t="shared" si="1"/>
        <v>0.01512781592</v>
      </c>
      <c r="W111" s="3">
        <f t="shared" si="2"/>
        <v>0</v>
      </c>
      <c r="X111" s="3">
        <f t="shared" si="3"/>
        <v>1</v>
      </c>
      <c r="Y111" s="9">
        <f t="shared" si="4"/>
        <v>0</v>
      </c>
      <c r="Z111" s="9">
        <v>0.015127815922431679</v>
      </c>
      <c r="AA111" s="3" t="str">
        <f t="shared" si="5"/>
        <v>OK</v>
      </c>
    </row>
    <row r="112" ht="15.75" customHeight="1">
      <c r="A112" s="3">
        <v>111.0</v>
      </c>
      <c r="B112" s="3" t="s">
        <v>15</v>
      </c>
      <c r="C112" s="7">
        <v>40.72062</v>
      </c>
      <c r="D112" s="7">
        <v>-74.011954</v>
      </c>
      <c r="E112" s="3">
        <v>0.0</v>
      </c>
      <c r="F112" s="3" t="s">
        <v>55</v>
      </c>
      <c r="G112" s="5">
        <f>(C112-'Pesos GPS'!$L$4)/'Pesos GPS'!$L$5</f>
        <v>1.00343413</v>
      </c>
      <c r="H112" s="5">
        <f>(D112-'Pesos GPS'!$L$6)/'Pesos GPS'!$L$7</f>
        <v>-1.000048305</v>
      </c>
      <c r="I112" s="5">
        <f>MAX(0,G112*'Pesos GPS'!B$6+H112*'Pesos GPS'!B$7+'Pesos GPS'!B$8)</f>
        <v>2.670085033</v>
      </c>
      <c r="J112" s="5">
        <f>MAX(0,G112*'Pesos GPS'!C$6+H112*'Pesos GPS'!C$7+'Pesos GPS'!C$8)</f>
        <v>0.3442248585</v>
      </c>
      <c r="K112" s="5">
        <f>MAX(0,G112*'Pesos GPS'!D$6+H112*'Pesos GPS'!D$7+'Pesos GPS'!D$8)</f>
        <v>0.4778072868</v>
      </c>
      <c r="L112" s="5">
        <f>MAX(0,G112*'Pesos GPS'!E$6+H112*'Pesos GPS'!E$7+'Pesos GPS'!E$8)</f>
        <v>1.792552981</v>
      </c>
      <c r="M112" s="5">
        <f>MAX(0,I112*'Pesos GPS'!B$13+J112*'Pesos GPS'!B$14+K112*'Pesos GPS'!B$15+L112*'Pesos GPS'!B$16+'Pesos GPS'!B$17)</f>
        <v>0</v>
      </c>
      <c r="N112" s="5">
        <f>MAX(0,I112*'Pesos GPS'!C$13+J112*'Pesos GPS'!C$14+K112*'Pesos GPS'!C$15+L112*'Pesos GPS'!C$16+'Pesos GPS'!C$17)</f>
        <v>0</v>
      </c>
      <c r="O112" s="5">
        <f>MAX(0,I112*'Pesos GPS'!D$13+J112*'Pesos GPS'!D$14+K112*'Pesos GPS'!D$15+L112*'Pesos GPS'!D$16+'Pesos GPS'!D$17)</f>
        <v>4.338037102</v>
      </c>
      <c r="P112" s="5">
        <f>MAX(0,I112*'Pesos GPS'!E$13+J112*'Pesos GPS'!E$14+K112*'Pesos GPS'!E$15+L112*'Pesos GPS'!E$16+'Pesos GPS'!E$17)</f>
        <v>3.45437366</v>
      </c>
      <c r="Q112" s="5">
        <f>MAX(0,I112*'Pesos GPS'!F$13+J112*'Pesos GPS'!F$14+K112*'Pesos GPS'!F$15+L112*'Pesos GPS'!F$16+'Pesos GPS'!F$17)</f>
        <v>0</v>
      </c>
      <c r="R112" s="5">
        <f>MAX(0,I112*'Pesos GPS'!G$13+J112*'Pesos GPS'!G$14+K112*'Pesos GPS'!G$15+L112*'Pesos GPS'!G$16+'Pesos GPS'!G$17)</f>
        <v>1.081755303</v>
      </c>
      <c r="S112" s="5">
        <f>MAX(0,I112*'Pesos GPS'!H$13+J112*'Pesos GPS'!H$14+K112*'Pesos GPS'!H$15+L112*'Pesos GPS'!H$16+'Pesos GPS'!H$17)</f>
        <v>0</v>
      </c>
      <c r="T112" s="5">
        <f>MAX(0,I112*'Pesos GPS'!I$13+J112*'Pesos GPS'!I$14+K112*'Pesos GPS'!I$15+L112*'Pesos GPS'!I$16+'Pesos GPS'!I$17)</f>
        <v>0</v>
      </c>
      <c r="U112" s="5">
        <f>M112*'Pesos GPS'!$B$22+N112*'Pesos GPS'!$B$23+O112*'Pesos GPS'!$B$24+P112*'Pesos GPS'!$B$25+Q112*'Pesos GPS'!$B$26+R112*'Pesos GPS'!$B$27+S112*'Pesos GPS'!$B$28+T112*'Pesos GPS'!$B$29+'Pesos GPS'!$B$30</f>
        <v>-4.203632307</v>
      </c>
      <c r="V112" s="5">
        <f t="shared" si="1"/>
        <v>0.01472125378</v>
      </c>
      <c r="W112" s="3">
        <f t="shared" si="2"/>
        <v>0</v>
      </c>
      <c r="X112" s="3">
        <f t="shared" si="3"/>
        <v>1</v>
      </c>
      <c r="Y112" s="9">
        <f t="shared" si="4"/>
        <v>0</v>
      </c>
      <c r="Z112" s="9">
        <v>0.014721253783090582</v>
      </c>
      <c r="AA112" s="3" t="str">
        <f t="shared" si="5"/>
        <v>OK</v>
      </c>
    </row>
    <row r="113" ht="15.75" customHeight="1">
      <c r="A113" s="3">
        <v>112.0</v>
      </c>
      <c r="B113" s="3" t="s">
        <v>15</v>
      </c>
      <c r="C113" s="7">
        <v>40.717079</v>
      </c>
      <c r="D113" s="7">
        <v>-74.01266</v>
      </c>
      <c r="E113" s="3">
        <v>0.0</v>
      </c>
      <c r="F113" s="3" t="s">
        <v>55</v>
      </c>
      <c r="G113" s="5">
        <f>(C113-'Pesos GPS'!$L$4)/'Pesos GPS'!$L$5</f>
        <v>1.002027634</v>
      </c>
      <c r="H113" s="5">
        <f>(D113-'Pesos GPS'!$L$6)/'Pesos GPS'!$L$7</f>
        <v>-1.000054913</v>
      </c>
      <c r="I113" s="5">
        <f>MAX(0,G113*'Pesos GPS'!B$6+H113*'Pesos GPS'!B$7+'Pesos GPS'!B$8)</f>
        <v>2.669476774</v>
      </c>
      <c r="J113" s="5">
        <f>MAX(0,G113*'Pesos GPS'!C$6+H113*'Pesos GPS'!C$7+'Pesos GPS'!C$8)</f>
        <v>0.3456563309</v>
      </c>
      <c r="K113" s="5">
        <f>MAX(0,G113*'Pesos GPS'!D$6+H113*'Pesos GPS'!D$7+'Pesos GPS'!D$8)</f>
        <v>0.4768196197</v>
      </c>
      <c r="L113" s="5">
        <f>MAX(0,G113*'Pesos GPS'!E$6+H113*'Pesos GPS'!E$7+'Pesos GPS'!E$8)</f>
        <v>1.790983995</v>
      </c>
      <c r="M113" s="5">
        <f>MAX(0,I113*'Pesos GPS'!B$13+J113*'Pesos GPS'!B$14+K113*'Pesos GPS'!B$15+L113*'Pesos GPS'!B$16+'Pesos GPS'!B$17)</f>
        <v>0</v>
      </c>
      <c r="N113" s="5">
        <f>MAX(0,I113*'Pesos GPS'!C$13+J113*'Pesos GPS'!C$14+K113*'Pesos GPS'!C$15+L113*'Pesos GPS'!C$16+'Pesos GPS'!C$17)</f>
        <v>0</v>
      </c>
      <c r="O113" s="5">
        <f>MAX(0,I113*'Pesos GPS'!D$13+J113*'Pesos GPS'!D$14+K113*'Pesos GPS'!D$15+L113*'Pesos GPS'!D$16+'Pesos GPS'!D$17)</f>
        <v>4.336871581</v>
      </c>
      <c r="P113" s="5">
        <f>MAX(0,I113*'Pesos GPS'!E$13+J113*'Pesos GPS'!E$14+K113*'Pesos GPS'!E$15+L113*'Pesos GPS'!E$16+'Pesos GPS'!E$17)</f>
        <v>3.452297658</v>
      </c>
      <c r="Q113" s="5">
        <f>MAX(0,I113*'Pesos GPS'!F$13+J113*'Pesos GPS'!F$14+K113*'Pesos GPS'!F$15+L113*'Pesos GPS'!F$16+'Pesos GPS'!F$17)</f>
        <v>0</v>
      </c>
      <c r="R113" s="5">
        <f>MAX(0,I113*'Pesos GPS'!G$13+J113*'Pesos GPS'!G$14+K113*'Pesos GPS'!G$15+L113*'Pesos GPS'!G$16+'Pesos GPS'!G$17)</f>
        <v>1.081196566</v>
      </c>
      <c r="S113" s="5">
        <f>MAX(0,I113*'Pesos GPS'!H$13+J113*'Pesos GPS'!H$14+K113*'Pesos GPS'!H$15+L113*'Pesos GPS'!H$16+'Pesos GPS'!H$17)</f>
        <v>0</v>
      </c>
      <c r="T113" s="5">
        <f>MAX(0,I113*'Pesos GPS'!I$13+J113*'Pesos GPS'!I$14+K113*'Pesos GPS'!I$15+L113*'Pesos GPS'!I$16+'Pesos GPS'!I$17)</f>
        <v>0</v>
      </c>
      <c r="U113" s="5">
        <f>M113*'Pesos GPS'!$B$22+N113*'Pesos GPS'!$B$23+O113*'Pesos GPS'!$B$24+P113*'Pesos GPS'!$B$25+Q113*'Pesos GPS'!$B$26+R113*'Pesos GPS'!$B$27+S113*'Pesos GPS'!$B$28+T113*'Pesos GPS'!$B$29+'Pesos GPS'!$B$30</f>
        <v>-4.201216788</v>
      </c>
      <c r="V113" s="5">
        <f t="shared" si="1"/>
        <v>0.01475633087</v>
      </c>
      <c r="W113" s="3">
        <f t="shared" si="2"/>
        <v>0</v>
      </c>
      <c r="X113" s="3">
        <f t="shared" si="3"/>
        <v>1</v>
      </c>
      <c r="Y113" s="9">
        <f t="shared" si="4"/>
        <v>0</v>
      </c>
      <c r="Z113" s="9">
        <v>0.014756330867786186</v>
      </c>
      <c r="AA113" s="3" t="str">
        <f t="shared" si="5"/>
        <v>OK</v>
      </c>
    </row>
    <row r="114" ht="15.75" customHeight="1">
      <c r="A114" s="3">
        <v>113.0</v>
      </c>
      <c r="B114" s="3" t="s">
        <v>15</v>
      </c>
      <c r="C114" s="7">
        <v>40.702105</v>
      </c>
      <c r="D114" s="7">
        <v>-74.000196</v>
      </c>
      <c r="E114" s="3">
        <v>0.0</v>
      </c>
      <c r="F114" s="3" t="s">
        <v>55</v>
      </c>
      <c r="G114" s="5">
        <f>(C114-'Pesos GPS'!$L$4)/'Pesos GPS'!$L$5</f>
        <v>0.9960799144</v>
      </c>
      <c r="H114" s="5">
        <f>(D114-'Pesos GPS'!$L$6)/'Pesos GPS'!$L$7</f>
        <v>-0.9999382395</v>
      </c>
      <c r="I114" s="5">
        <f>MAX(0,G114*'Pesos GPS'!B$6+H114*'Pesos GPS'!B$7+'Pesos GPS'!B$8)</f>
        <v>2.66660254</v>
      </c>
      <c r="J114" s="5">
        <f>MAX(0,G114*'Pesos GPS'!C$6+H114*'Pesos GPS'!C$7+'Pesos GPS'!C$8)</f>
        <v>0.3515172274</v>
      </c>
      <c r="K114" s="5">
        <f>MAX(0,G114*'Pesos GPS'!D$6+H114*'Pesos GPS'!D$7+'Pesos GPS'!D$8)</f>
        <v>0.4726686084</v>
      </c>
      <c r="L114" s="5">
        <f>MAX(0,G114*'Pesos GPS'!E$6+H114*'Pesos GPS'!E$7+'Pesos GPS'!E$8)</f>
        <v>1.784277772</v>
      </c>
      <c r="M114" s="5">
        <f>MAX(0,I114*'Pesos GPS'!B$13+J114*'Pesos GPS'!B$14+K114*'Pesos GPS'!B$15+L114*'Pesos GPS'!B$16+'Pesos GPS'!B$17)</f>
        <v>0</v>
      </c>
      <c r="N114" s="5">
        <f>MAX(0,I114*'Pesos GPS'!C$13+J114*'Pesos GPS'!C$14+K114*'Pesos GPS'!C$15+L114*'Pesos GPS'!C$16+'Pesos GPS'!C$17)</f>
        <v>0</v>
      </c>
      <c r="O114" s="5">
        <f>MAX(0,I114*'Pesos GPS'!D$13+J114*'Pesos GPS'!D$14+K114*'Pesos GPS'!D$15+L114*'Pesos GPS'!D$16+'Pesos GPS'!D$17)</f>
        <v>4.331474799</v>
      </c>
      <c r="P114" s="5">
        <f>MAX(0,I114*'Pesos GPS'!E$13+J114*'Pesos GPS'!E$14+K114*'Pesos GPS'!E$15+L114*'Pesos GPS'!E$16+'Pesos GPS'!E$17)</f>
        <v>3.443268006</v>
      </c>
      <c r="Q114" s="5">
        <f>MAX(0,I114*'Pesos GPS'!F$13+J114*'Pesos GPS'!F$14+K114*'Pesos GPS'!F$15+L114*'Pesos GPS'!F$16+'Pesos GPS'!F$17)</f>
        <v>0</v>
      </c>
      <c r="R114" s="5">
        <f>MAX(0,I114*'Pesos GPS'!G$13+J114*'Pesos GPS'!G$14+K114*'Pesos GPS'!G$15+L114*'Pesos GPS'!G$16+'Pesos GPS'!G$17)</f>
        <v>1.078732338</v>
      </c>
      <c r="S114" s="5">
        <f>MAX(0,I114*'Pesos GPS'!H$13+J114*'Pesos GPS'!H$14+K114*'Pesos GPS'!H$15+L114*'Pesos GPS'!H$16+'Pesos GPS'!H$17)</f>
        <v>0.001628774141</v>
      </c>
      <c r="T114" s="5">
        <f>MAX(0,I114*'Pesos GPS'!I$13+J114*'Pesos GPS'!I$14+K114*'Pesos GPS'!I$15+L114*'Pesos GPS'!I$16+'Pesos GPS'!I$17)</f>
        <v>0</v>
      </c>
      <c r="U114" s="5">
        <f>M114*'Pesos GPS'!$B$22+N114*'Pesos GPS'!$B$23+O114*'Pesos GPS'!$B$24+P114*'Pesos GPS'!$B$25+Q114*'Pesos GPS'!$B$26+R114*'Pesos GPS'!$B$27+S114*'Pesos GPS'!$B$28+T114*'Pesos GPS'!$B$29+'Pesos GPS'!$B$30</f>
        <v>-4.189854707</v>
      </c>
      <c r="V114" s="5">
        <f t="shared" si="1"/>
        <v>0.01492243341</v>
      </c>
      <c r="W114" s="3">
        <f t="shared" si="2"/>
        <v>0</v>
      </c>
      <c r="X114" s="3">
        <f t="shared" si="3"/>
        <v>1</v>
      </c>
      <c r="Y114" s="9">
        <f t="shared" si="4"/>
        <v>0</v>
      </c>
      <c r="Z114" s="9">
        <v>0.01492243340744963</v>
      </c>
      <c r="AA114" s="3" t="str">
        <f t="shared" si="5"/>
        <v>OK</v>
      </c>
    </row>
    <row r="115" ht="15.75" customHeight="1">
      <c r="A115" s="3">
        <v>114.0</v>
      </c>
      <c r="B115" s="3" t="s">
        <v>15</v>
      </c>
      <c r="C115" s="7">
        <v>40.686771</v>
      </c>
      <c r="D115" s="7">
        <v>-74.019883</v>
      </c>
      <c r="E115" s="3">
        <v>0.0</v>
      </c>
      <c r="F115" s="3" t="s">
        <v>55</v>
      </c>
      <c r="G115" s="5">
        <f>(C115-'Pesos GPS'!$L$4)/'Pesos GPS'!$L$5</f>
        <v>0.9899892018</v>
      </c>
      <c r="H115" s="5">
        <f>(D115-'Pesos GPS'!$L$6)/'Pesos GPS'!$L$7</f>
        <v>-1.000122527</v>
      </c>
      <c r="I115" s="5">
        <f>MAX(0,G115*'Pesos GPS'!B$6+H115*'Pesos GPS'!B$7+'Pesos GPS'!B$8)</f>
        <v>2.664293654</v>
      </c>
      <c r="J115" s="5">
        <f>MAX(0,G115*'Pesos GPS'!C$6+H115*'Pesos GPS'!C$7+'Pesos GPS'!C$8)</f>
        <v>0.3579232391</v>
      </c>
      <c r="K115" s="5">
        <f>MAX(0,G115*'Pesos GPS'!D$6+H115*'Pesos GPS'!D$7+'Pesos GPS'!D$8)</f>
        <v>0.4683640606</v>
      </c>
      <c r="L115" s="5">
        <f>MAX(0,G115*'Pesos GPS'!E$6+H115*'Pesos GPS'!E$7+'Pesos GPS'!E$8)</f>
        <v>1.777560242</v>
      </c>
      <c r="M115" s="5">
        <f>MAX(0,I115*'Pesos GPS'!B$13+J115*'Pesos GPS'!B$14+K115*'Pesos GPS'!B$15+L115*'Pesos GPS'!B$16+'Pesos GPS'!B$17)</f>
        <v>0</v>
      </c>
      <c r="N115" s="5">
        <f>MAX(0,I115*'Pesos GPS'!C$13+J115*'Pesos GPS'!C$14+K115*'Pesos GPS'!C$15+L115*'Pesos GPS'!C$16+'Pesos GPS'!C$17)</f>
        <v>0</v>
      </c>
      <c r="O115" s="5">
        <f>MAX(0,I115*'Pesos GPS'!D$13+J115*'Pesos GPS'!D$14+K115*'Pesos GPS'!D$15+L115*'Pesos GPS'!D$16+'Pesos GPS'!D$17)</f>
        <v>4.326931453</v>
      </c>
      <c r="P115" s="5">
        <f>MAX(0,I115*'Pesos GPS'!E$13+J115*'Pesos GPS'!E$14+K115*'Pesos GPS'!E$15+L115*'Pesos GPS'!E$16+'Pesos GPS'!E$17)</f>
        <v>3.434547973</v>
      </c>
      <c r="Q115" s="5">
        <f>MAX(0,I115*'Pesos GPS'!F$13+J115*'Pesos GPS'!F$14+K115*'Pesos GPS'!F$15+L115*'Pesos GPS'!F$16+'Pesos GPS'!F$17)</f>
        <v>0</v>
      </c>
      <c r="R115" s="5">
        <f>MAX(0,I115*'Pesos GPS'!G$13+J115*'Pesos GPS'!G$14+K115*'Pesos GPS'!G$15+L115*'Pesos GPS'!G$16+'Pesos GPS'!G$17)</f>
        <v>1.076421993</v>
      </c>
      <c r="S115" s="5">
        <f>MAX(0,I115*'Pesos GPS'!H$13+J115*'Pesos GPS'!H$14+K115*'Pesos GPS'!H$15+L115*'Pesos GPS'!H$16+'Pesos GPS'!H$17)</f>
        <v>0.005114414988</v>
      </c>
      <c r="T115" s="5">
        <f>MAX(0,I115*'Pesos GPS'!I$13+J115*'Pesos GPS'!I$14+K115*'Pesos GPS'!I$15+L115*'Pesos GPS'!I$16+'Pesos GPS'!I$17)</f>
        <v>0</v>
      </c>
      <c r="U115" s="5">
        <f>M115*'Pesos GPS'!$B$22+N115*'Pesos GPS'!$B$23+O115*'Pesos GPS'!$B$24+P115*'Pesos GPS'!$B$25+Q115*'Pesos GPS'!$B$26+R115*'Pesos GPS'!$B$27+S115*'Pesos GPS'!$B$28+T115*'Pesos GPS'!$B$29+'Pesos GPS'!$B$30</f>
        <v>-4.179007712</v>
      </c>
      <c r="V115" s="5">
        <f t="shared" si="1"/>
        <v>0.01508272339</v>
      </c>
      <c r="W115" s="3">
        <f t="shared" si="2"/>
        <v>0</v>
      </c>
      <c r="X115" s="3">
        <f t="shared" si="3"/>
        <v>1</v>
      </c>
      <c r="Y115" s="9">
        <f t="shared" si="4"/>
        <v>0</v>
      </c>
      <c r="Z115" s="9">
        <v>0.015082723387301215</v>
      </c>
      <c r="AA115" s="3" t="str">
        <f t="shared" si="5"/>
        <v>OK</v>
      </c>
    </row>
    <row r="116" ht="15.75" customHeight="1">
      <c r="A116" s="3">
        <v>115.0</v>
      </c>
      <c r="B116" s="3" t="s">
        <v>15</v>
      </c>
      <c r="C116" s="7">
        <v>40.714098</v>
      </c>
      <c r="D116" s="7">
        <v>-73.994212</v>
      </c>
      <c r="E116" s="3">
        <v>0.0</v>
      </c>
      <c r="F116" s="3" t="s">
        <v>55</v>
      </c>
      <c r="G116" s="5">
        <f>(C116-'Pesos GPS'!$L$4)/'Pesos GPS'!$L$5</f>
        <v>1.000843571</v>
      </c>
      <c r="H116" s="5">
        <f>(D116-'Pesos GPS'!$L$6)/'Pesos GPS'!$L$7</f>
        <v>-0.999882224</v>
      </c>
      <c r="I116" s="5">
        <f>MAX(0,G116*'Pesos GPS'!B$6+H116*'Pesos GPS'!B$7+'Pesos GPS'!B$8)</f>
        <v>2.668592408</v>
      </c>
      <c r="J116" s="5">
        <f>MAX(0,G116*'Pesos GPS'!C$6+H116*'Pesos GPS'!C$7+'Pesos GPS'!C$8)</f>
        <v>0.3466242258</v>
      </c>
      <c r="K116" s="5">
        <f>MAX(0,G116*'Pesos GPS'!D$6+H116*'Pesos GPS'!D$7+'Pesos GPS'!D$8)</f>
        <v>0.4760196843</v>
      </c>
      <c r="L116" s="5">
        <f>MAX(0,G116*'Pesos GPS'!E$6+H116*'Pesos GPS'!E$7+'Pesos GPS'!E$8)</f>
        <v>1.789575165</v>
      </c>
      <c r="M116" s="5">
        <f>MAX(0,I116*'Pesos GPS'!B$13+J116*'Pesos GPS'!B$14+K116*'Pesos GPS'!B$15+L116*'Pesos GPS'!B$16+'Pesos GPS'!B$17)</f>
        <v>0</v>
      </c>
      <c r="N116" s="5">
        <f>MAX(0,I116*'Pesos GPS'!C$13+J116*'Pesos GPS'!C$14+K116*'Pesos GPS'!C$15+L116*'Pesos GPS'!C$16+'Pesos GPS'!C$17)</f>
        <v>0</v>
      </c>
      <c r="O116" s="5">
        <f>MAX(0,I116*'Pesos GPS'!D$13+J116*'Pesos GPS'!D$14+K116*'Pesos GPS'!D$15+L116*'Pesos GPS'!D$16+'Pesos GPS'!D$17)</f>
        <v>4.335313443</v>
      </c>
      <c r="P116" s="5">
        <f>MAX(0,I116*'Pesos GPS'!E$13+J116*'Pesos GPS'!E$14+K116*'Pesos GPS'!E$15+L116*'Pesos GPS'!E$16+'Pesos GPS'!E$17)</f>
        <v>3.450240894</v>
      </c>
      <c r="Q116" s="5">
        <f>MAX(0,I116*'Pesos GPS'!F$13+J116*'Pesos GPS'!F$14+K116*'Pesos GPS'!F$15+L116*'Pesos GPS'!F$16+'Pesos GPS'!F$17)</f>
        <v>0</v>
      </c>
      <c r="R116" s="5">
        <f>MAX(0,I116*'Pesos GPS'!G$13+J116*'Pesos GPS'!G$14+K116*'Pesos GPS'!G$15+L116*'Pesos GPS'!G$16+'Pesos GPS'!G$17)</f>
        <v>1.080601126</v>
      </c>
      <c r="S116" s="5">
        <f>MAX(0,I116*'Pesos GPS'!H$13+J116*'Pesos GPS'!H$14+K116*'Pesos GPS'!H$15+L116*'Pesos GPS'!H$16+'Pesos GPS'!H$17)</f>
        <v>0</v>
      </c>
      <c r="T116" s="5">
        <f>MAX(0,I116*'Pesos GPS'!I$13+J116*'Pesos GPS'!I$14+K116*'Pesos GPS'!I$15+L116*'Pesos GPS'!I$16+'Pesos GPS'!I$17)</f>
        <v>0</v>
      </c>
      <c r="U116" s="5">
        <f>M116*'Pesos GPS'!$B$22+N116*'Pesos GPS'!$B$23+O116*'Pesos GPS'!$B$24+P116*'Pesos GPS'!$B$25+Q116*'Pesos GPS'!$B$26+R116*'Pesos GPS'!$B$27+S116*'Pesos GPS'!$B$28+T116*'Pesos GPS'!$B$29+'Pesos GPS'!$B$30</f>
        <v>-4.198390498</v>
      </c>
      <c r="V116" s="5">
        <f t="shared" si="1"/>
        <v>0.01479747752</v>
      </c>
      <c r="W116" s="3">
        <f t="shared" si="2"/>
        <v>0</v>
      </c>
      <c r="X116" s="3">
        <f t="shared" si="3"/>
        <v>1</v>
      </c>
      <c r="Y116" s="9">
        <f t="shared" si="4"/>
        <v>0</v>
      </c>
      <c r="Z116" s="9">
        <v>0.014797477522499278</v>
      </c>
      <c r="AA116" s="3" t="str">
        <f t="shared" si="5"/>
        <v>OK</v>
      </c>
    </row>
    <row r="117" ht="15.75" customHeight="1">
      <c r="A117" s="3">
        <v>116.0</v>
      </c>
      <c r="B117" s="3" t="s">
        <v>15</v>
      </c>
      <c r="C117" s="7">
        <v>40.703269</v>
      </c>
      <c r="D117" s="7">
        <v>-73.980682</v>
      </c>
      <c r="E117" s="3">
        <v>0.0</v>
      </c>
      <c r="F117" s="3" t="s">
        <v>55</v>
      </c>
      <c r="G117" s="5">
        <f>(C117-'Pesos GPS'!$L$4)/'Pesos GPS'!$L$5</f>
        <v>0.9965422588</v>
      </c>
      <c r="H117" s="5">
        <f>(D117-'Pesos GPS'!$L$6)/'Pesos GPS'!$L$7</f>
        <v>-0.9997555715</v>
      </c>
      <c r="I117" s="5">
        <f>MAX(0,G117*'Pesos GPS'!B$6+H117*'Pesos GPS'!B$7+'Pesos GPS'!B$8)</f>
        <v>2.666425502</v>
      </c>
      <c r="J117" s="5">
        <f>MAX(0,G117*'Pesos GPS'!C$6+H117*'Pesos GPS'!C$7+'Pesos GPS'!C$8)</f>
        <v>0.3508064947</v>
      </c>
      <c r="K117" s="5">
        <f>MAX(0,G117*'Pesos GPS'!D$6+H117*'Pesos GPS'!D$7+'Pesos GPS'!D$8)</f>
        <v>0.4730252065</v>
      </c>
      <c r="L117" s="5">
        <f>MAX(0,G117*'Pesos GPS'!E$6+H117*'Pesos GPS'!E$7+'Pesos GPS'!E$8)</f>
        <v>1.784704448</v>
      </c>
      <c r="M117" s="5">
        <f>MAX(0,I117*'Pesos GPS'!B$13+J117*'Pesos GPS'!B$14+K117*'Pesos GPS'!B$15+L117*'Pesos GPS'!B$16+'Pesos GPS'!B$17)</f>
        <v>0</v>
      </c>
      <c r="N117" s="5">
        <f>MAX(0,I117*'Pesos GPS'!C$13+J117*'Pesos GPS'!C$14+K117*'Pesos GPS'!C$15+L117*'Pesos GPS'!C$16+'Pesos GPS'!C$17)</f>
        <v>0</v>
      </c>
      <c r="O117" s="5">
        <f>MAX(0,I117*'Pesos GPS'!D$13+J117*'Pesos GPS'!D$14+K117*'Pesos GPS'!D$15+L117*'Pesos GPS'!D$16+'Pesos GPS'!D$17)</f>
        <v>4.331273731</v>
      </c>
      <c r="P117" s="5">
        <f>MAX(0,I117*'Pesos GPS'!E$13+J117*'Pesos GPS'!E$14+K117*'Pesos GPS'!E$15+L117*'Pesos GPS'!E$16+'Pesos GPS'!E$17)</f>
        <v>3.443637466</v>
      </c>
      <c r="Q117" s="5">
        <f>MAX(0,I117*'Pesos GPS'!F$13+J117*'Pesos GPS'!F$14+K117*'Pesos GPS'!F$15+L117*'Pesos GPS'!F$16+'Pesos GPS'!F$17)</f>
        <v>0</v>
      </c>
      <c r="R117" s="5">
        <f>MAX(0,I117*'Pesos GPS'!G$13+J117*'Pesos GPS'!G$14+K117*'Pesos GPS'!G$15+L117*'Pesos GPS'!G$16+'Pesos GPS'!G$17)</f>
        <v>1.078789368</v>
      </c>
      <c r="S117" s="5">
        <f>MAX(0,I117*'Pesos GPS'!H$13+J117*'Pesos GPS'!H$14+K117*'Pesos GPS'!H$15+L117*'Pesos GPS'!H$16+'Pesos GPS'!H$17)</f>
        <v>0.001231389111</v>
      </c>
      <c r="T117" s="5">
        <f>MAX(0,I117*'Pesos GPS'!I$13+J117*'Pesos GPS'!I$14+K117*'Pesos GPS'!I$15+L117*'Pesos GPS'!I$16+'Pesos GPS'!I$17)</f>
        <v>0</v>
      </c>
      <c r="U117" s="5">
        <f>M117*'Pesos GPS'!$B$22+N117*'Pesos GPS'!$B$23+O117*'Pesos GPS'!$B$24+P117*'Pesos GPS'!$B$25+Q117*'Pesos GPS'!$B$26+R117*'Pesos GPS'!$B$27+S117*'Pesos GPS'!$B$28+T117*'Pesos GPS'!$B$29+'Pesos GPS'!$B$30</f>
        <v>-4.189969013</v>
      </c>
      <c r="V117" s="5">
        <f t="shared" si="1"/>
        <v>0.01492075324</v>
      </c>
      <c r="W117" s="3">
        <f t="shared" si="2"/>
        <v>0</v>
      </c>
      <c r="X117" s="3">
        <f t="shared" si="3"/>
        <v>1</v>
      </c>
      <c r="Y117" s="9">
        <f t="shared" si="4"/>
        <v>0</v>
      </c>
      <c r="Z117" s="9">
        <v>0.01492075324210641</v>
      </c>
      <c r="AA117" s="3" t="str">
        <f t="shared" si="5"/>
        <v>OK</v>
      </c>
    </row>
    <row r="118" ht="15.75" customHeight="1">
      <c r="A118" s="3">
        <v>117.0</v>
      </c>
      <c r="B118" s="3" t="s">
        <v>15</v>
      </c>
      <c r="C118" s="7">
        <v>40.716988</v>
      </c>
      <c r="D118" s="7">
        <v>-74.002114</v>
      </c>
      <c r="E118" s="3">
        <v>0.0</v>
      </c>
      <c r="F118" s="3" t="s">
        <v>55</v>
      </c>
      <c r="G118" s="5">
        <f>(C118-'Pesos GPS'!$L$4)/'Pesos GPS'!$L$5</f>
        <v>1.001991488</v>
      </c>
      <c r="H118" s="5">
        <f>(D118-'Pesos GPS'!$L$6)/'Pesos GPS'!$L$7</f>
        <v>-0.9999561936</v>
      </c>
      <c r="I118" s="5">
        <f>MAX(0,G118*'Pesos GPS'!B$6+H118*'Pesos GPS'!B$7+'Pesos GPS'!B$8)</f>
        <v>2.6692546</v>
      </c>
      <c r="J118" s="5">
        <f>MAX(0,G118*'Pesos GPS'!C$6+H118*'Pesos GPS'!C$7+'Pesos GPS'!C$8)</f>
        <v>0.34556153</v>
      </c>
      <c r="K118" s="5">
        <f>MAX(0,G118*'Pesos GPS'!D$6+H118*'Pesos GPS'!D$7+'Pesos GPS'!D$8)</f>
        <v>0.4768117322</v>
      </c>
      <c r="L118" s="5">
        <f>MAX(0,G118*'Pesos GPS'!E$6+H118*'Pesos GPS'!E$7+'Pesos GPS'!E$8)</f>
        <v>1.790894868</v>
      </c>
      <c r="M118" s="5">
        <f>MAX(0,I118*'Pesos GPS'!B$13+J118*'Pesos GPS'!B$14+K118*'Pesos GPS'!B$15+L118*'Pesos GPS'!B$16+'Pesos GPS'!B$17)</f>
        <v>0</v>
      </c>
      <c r="N118" s="5">
        <f>MAX(0,I118*'Pesos GPS'!C$13+J118*'Pesos GPS'!C$14+K118*'Pesos GPS'!C$15+L118*'Pesos GPS'!C$16+'Pesos GPS'!C$17)</f>
        <v>0</v>
      </c>
      <c r="O118" s="5">
        <f>MAX(0,I118*'Pesos GPS'!D$13+J118*'Pesos GPS'!D$14+K118*'Pesos GPS'!D$15+L118*'Pesos GPS'!D$16+'Pesos GPS'!D$17)</f>
        <v>4.336521558</v>
      </c>
      <c r="P118" s="5">
        <f>MAX(0,I118*'Pesos GPS'!E$13+J118*'Pesos GPS'!E$14+K118*'Pesos GPS'!E$15+L118*'Pesos GPS'!E$16+'Pesos GPS'!E$17)</f>
        <v>3.45207284</v>
      </c>
      <c r="Q118" s="5">
        <f>MAX(0,I118*'Pesos GPS'!F$13+J118*'Pesos GPS'!F$14+K118*'Pesos GPS'!F$15+L118*'Pesos GPS'!F$16+'Pesos GPS'!F$17)</f>
        <v>0</v>
      </c>
      <c r="R118" s="5">
        <f>MAX(0,I118*'Pesos GPS'!G$13+J118*'Pesos GPS'!G$14+K118*'Pesos GPS'!G$15+L118*'Pesos GPS'!G$16+'Pesos GPS'!G$17)</f>
        <v>1.081112824</v>
      </c>
      <c r="S118" s="5">
        <f>MAX(0,I118*'Pesos GPS'!H$13+J118*'Pesos GPS'!H$14+K118*'Pesos GPS'!H$15+L118*'Pesos GPS'!H$16+'Pesos GPS'!H$17)</f>
        <v>0</v>
      </c>
      <c r="T118" s="5">
        <f>MAX(0,I118*'Pesos GPS'!I$13+J118*'Pesos GPS'!I$14+K118*'Pesos GPS'!I$15+L118*'Pesos GPS'!I$16+'Pesos GPS'!I$17)</f>
        <v>0</v>
      </c>
      <c r="U118" s="5">
        <f>M118*'Pesos GPS'!$B$22+N118*'Pesos GPS'!$B$23+O118*'Pesos GPS'!$B$24+P118*'Pesos GPS'!$B$25+Q118*'Pesos GPS'!$B$26+R118*'Pesos GPS'!$B$27+S118*'Pesos GPS'!$B$28+T118*'Pesos GPS'!$B$29+'Pesos GPS'!$B$30</f>
        <v>-4.200714901</v>
      </c>
      <c r="V118" s="5">
        <f t="shared" si="1"/>
        <v>0.01476362938</v>
      </c>
      <c r="W118" s="3">
        <f t="shared" si="2"/>
        <v>0</v>
      </c>
      <c r="X118" s="3">
        <f t="shared" si="3"/>
        <v>1</v>
      </c>
      <c r="Y118" s="9">
        <f t="shared" si="4"/>
        <v>0</v>
      </c>
      <c r="Z118" s="9">
        <v>0.014763629377250178</v>
      </c>
      <c r="AA118" s="3" t="str">
        <f t="shared" si="5"/>
        <v>OK</v>
      </c>
    </row>
    <row r="119" ht="15.75" customHeight="1">
      <c r="A119" s="3">
        <v>118.0</v>
      </c>
      <c r="B119" s="3" t="s">
        <v>15</v>
      </c>
      <c r="C119" s="7">
        <v>40.713193</v>
      </c>
      <c r="D119" s="7">
        <v>-73.997206</v>
      </c>
      <c r="E119" s="3">
        <v>0.0</v>
      </c>
      <c r="F119" s="3" t="s">
        <v>55</v>
      </c>
      <c r="G119" s="5">
        <f>(C119-'Pesos GPS'!$L$4)/'Pesos GPS'!$L$5</f>
        <v>1.000484102</v>
      </c>
      <c r="H119" s="5">
        <f>(D119-'Pesos GPS'!$L$6)/'Pesos GPS'!$L$7</f>
        <v>-0.9999102505</v>
      </c>
      <c r="I119" s="5">
        <f>MAX(0,G119*'Pesos GPS'!B$6+H119*'Pesos GPS'!B$7+'Pesos GPS'!B$8)</f>
        <v>2.668491959</v>
      </c>
      <c r="J119" s="5">
        <f>MAX(0,G119*'Pesos GPS'!C$6+H119*'Pesos GPS'!C$7+'Pesos GPS'!C$8)</f>
        <v>0.347025124</v>
      </c>
      <c r="K119" s="5">
        <f>MAX(0,G119*'Pesos GPS'!D$6+H119*'Pesos GPS'!D$7+'Pesos GPS'!D$8)</f>
        <v>0.4757625995</v>
      </c>
      <c r="L119" s="5">
        <f>MAX(0,G119*'Pesos GPS'!E$6+H119*'Pesos GPS'!E$7+'Pesos GPS'!E$8)</f>
        <v>1.789187166</v>
      </c>
      <c r="M119" s="5">
        <f>MAX(0,I119*'Pesos GPS'!B$13+J119*'Pesos GPS'!B$14+K119*'Pesos GPS'!B$15+L119*'Pesos GPS'!B$16+'Pesos GPS'!B$17)</f>
        <v>0</v>
      </c>
      <c r="N119" s="5">
        <f>MAX(0,I119*'Pesos GPS'!C$13+J119*'Pesos GPS'!C$14+K119*'Pesos GPS'!C$15+L119*'Pesos GPS'!C$16+'Pesos GPS'!C$17)</f>
        <v>0</v>
      </c>
      <c r="O119" s="5">
        <f>MAX(0,I119*'Pesos GPS'!D$13+J119*'Pesos GPS'!D$14+K119*'Pesos GPS'!D$15+L119*'Pesos GPS'!D$16+'Pesos GPS'!D$17)</f>
        <v>4.335100807</v>
      </c>
      <c r="P119" s="5">
        <f>MAX(0,I119*'Pesos GPS'!E$13+J119*'Pesos GPS'!E$14+K119*'Pesos GPS'!E$15+L119*'Pesos GPS'!E$16+'Pesos GPS'!E$17)</f>
        <v>3.449755981</v>
      </c>
      <c r="Q119" s="5">
        <f>MAX(0,I119*'Pesos GPS'!F$13+J119*'Pesos GPS'!F$14+K119*'Pesos GPS'!F$15+L119*'Pesos GPS'!F$16+'Pesos GPS'!F$17)</f>
        <v>0</v>
      </c>
      <c r="R119" s="5">
        <f>MAX(0,I119*'Pesos GPS'!G$13+J119*'Pesos GPS'!G$14+K119*'Pesos GPS'!G$15+L119*'Pesos GPS'!G$16+'Pesos GPS'!G$17)</f>
        <v>1.080476804</v>
      </c>
      <c r="S119" s="5">
        <f>MAX(0,I119*'Pesos GPS'!H$13+J119*'Pesos GPS'!H$14+K119*'Pesos GPS'!H$15+L119*'Pesos GPS'!H$16+'Pesos GPS'!H$17)</f>
        <v>0</v>
      </c>
      <c r="T119" s="5">
        <f>MAX(0,I119*'Pesos GPS'!I$13+J119*'Pesos GPS'!I$14+K119*'Pesos GPS'!I$15+L119*'Pesos GPS'!I$16+'Pesos GPS'!I$17)</f>
        <v>0</v>
      </c>
      <c r="U119" s="5">
        <f>M119*'Pesos GPS'!$B$22+N119*'Pesos GPS'!$B$23+O119*'Pesos GPS'!$B$24+P119*'Pesos GPS'!$B$25+Q119*'Pesos GPS'!$B$26+R119*'Pesos GPS'!$B$27+S119*'Pesos GPS'!$B$28+T119*'Pesos GPS'!$B$29+'Pesos GPS'!$B$30</f>
        <v>-4.197890281</v>
      </c>
      <c r="V119" s="5">
        <f t="shared" si="1"/>
        <v>0.01480477171</v>
      </c>
      <c r="W119" s="3">
        <f t="shared" si="2"/>
        <v>0</v>
      </c>
      <c r="X119" s="3">
        <f t="shared" si="3"/>
        <v>1</v>
      </c>
      <c r="Y119" s="9">
        <f t="shared" si="4"/>
        <v>0</v>
      </c>
      <c r="Z119" s="9">
        <v>0.014804771709360537</v>
      </c>
      <c r="AA119" s="3" t="str">
        <f t="shared" si="5"/>
        <v>OK</v>
      </c>
    </row>
    <row r="120" ht="15.75" customHeight="1">
      <c r="A120" s="3">
        <v>119.0</v>
      </c>
      <c r="B120" s="3" t="s">
        <v>15</v>
      </c>
      <c r="C120" s="7">
        <v>40.741632</v>
      </c>
      <c r="D120" s="7">
        <v>-74.004671</v>
      </c>
      <c r="E120" s="3">
        <v>0.0</v>
      </c>
      <c r="F120" s="3" t="s">
        <v>55</v>
      </c>
      <c r="G120" s="5">
        <f>(C120-'Pesos GPS'!$L$4)/'Pesos GPS'!$L$5</f>
        <v>1.011780162</v>
      </c>
      <c r="H120" s="5">
        <f>(D120-'Pesos GPS'!$L$6)/'Pesos GPS'!$L$7</f>
        <v>-0.9999801294</v>
      </c>
      <c r="I120" s="5">
        <f>MAX(0,G120*'Pesos GPS'!B$6+H120*'Pesos GPS'!B$7+'Pesos GPS'!B$8)</f>
        <v>2.673633911</v>
      </c>
      <c r="J120" s="5">
        <f>MAX(0,G120*'Pesos GPS'!C$6+H120*'Pesos GPS'!C$7+'Pesos GPS'!C$8)</f>
        <v>0.3356920853</v>
      </c>
      <c r="K120" s="5">
        <f>MAX(0,G120*'Pesos GPS'!D$6+H120*'Pesos GPS'!D$7+'Pesos GPS'!D$8)</f>
        <v>0.4836731444</v>
      </c>
      <c r="L120" s="5">
        <f>MAX(0,G120*'Pesos GPS'!E$6+H120*'Pesos GPS'!E$7+'Pesos GPS'!E$8)</f>
        <v>1.80184892</v>
      </c>
      <c r="M120" s="5">
        <f>MAX(0,I120*'Pesos GPS'!B$13+J120*'Pesos GPS'!B$14+K120*'Pesos GPS'!B$15+L120*'Pesos GPS'!B$16+'Pesos GPS'!B$17)</f>
        <v>0</v>
      </c>
      <c r="N120" s="5">
        <f>MAX(0,I120*'Pesos GPS'!C$13+J120*'Pesos GPS'!C$14+K120*'Pesos GPS'!C$15+L120*'Pesos GPS'!C$16+'Pesos GPS'!C$17)</f>
        <v>0</v>
      </c>
      <c r="O120" s="5">
        <f>MAX(0,I120*'Pesos GPS'!D$13+J120*'Pesos GPS'!D$14+K120*'Pesos GPS'!D$15+L120*'Pesos GPS'!D$16+'Pesos GPS'!D$17)</f>
        <v>4.344859476</v>
      </c>
      <c r="P120" s="5">
        <f>MAX(0,I120*'Pesos GPS'!E$13+J120*'Pesos GPS'!E$14+K120*'Pesos GPS'!E$15+L120*'Pesos GPS'!E$16+'Pesos GPS'!E$17)</f>
        <v>3.466642269</v>
      </c>
      <c r="Q120" s="5">
        <f>MAX(0,I120*'Pesos GPS'!F$13+J120*'Pesos GPS'!F$14+K120*'Pesos GPS'!F$15+L120*'Pesos GPS'!F$16+'Pesos GPS'!F$17)</f>
        <v>0</v>
      </c>
      <c r="R120" s="5">
        <f>MAX(0,I120*'Pesos GPS'!G$13+J120*'Pesos GPS'!G$14+K120*'Pesos GPS'!G$15+L120*'Pesos GPS'!G$16+'Pesos GPS'!G$17)</f>
        <v>1.085050486</v>
      </c>
      <c r="S120" s="5">
        <f>MAX(0,I120*'Pesos GPS'!H$13+J120*'Pesos GPS'!H$14+K120*'Pesos GPS'!H$15+L120*'Pesos GPS'!H$16+'Pesos GPS'!H$17)</f>
        <v>0</v>
      </c>
      <c r="T120" s="5">
        <f>MAX(0,I120*'Pesos GPS'!I$13+J120*'Pesos GPS'!I$14+K120*'Pesos GPS'!I$15+L120*'Pesos GPS'!I$16+'Pesos GPS'!I$17)</f>
        <v>0</v>
      </c>
      <c r="U120" s="5">
        <f>M120*'Pesos GPS'!$B$22+N120*'Pesos GPS'!$B$23+O120*'Pesos GPS'!$B$24+P120*'Pesos GPS'!$B$25+Q120*'Pesos GPS'!$B$26+R120*'Pesos GPS'!$B$27+S120*'Pesos GPS'!$B$28+T120*'Pesos GPS'!$B$29+'Pesos GPS'!$B$30</f>
        <v>-4.217836998</v>
      </c>
      <c r="V120" s="5">
        <f t="shared" si="1"/>
        <v>0.01451663522</v>
      </c>
      <c r="W120" s="3">
        <f t="shared" si="2"/>
        <v>0</v>
      </c>
      <c r="X120" s="3">
        <f t="shared" si="3"/>
        <v>1</v>
      </c>
      <c r="Y120" s="9">
        <f t="shared" si="4"/>
        <v>0</v>
      </c>
      <c r="Z120" s="9">
        <v>0.014516635217632173</v>
      </c>
      <c r="AA120" s="3" t="str">
        <f t="shared" si="5"/>
        <v>OK</v>
      </c>
    </row>
    <row r="121" ht="15.75" customHeight="1">
      <c r="A121" s="3">
        <v>120.0</v>
      </c>
      <c r="B121" s="3" t="s">
        <v>15</v>
      </c>
      <c r="C121" s="7">
        <v>40.708492</v>
      </c>
      <c r="D121" s="7">
        <v>-74.005998</v>
      </c>
      <c r="E121" s="3">
        <v>0.0</v>
      </c>
      <c r="F121" s="3" t="s">
        <v>55</v>
      </c>
      <c r="G121" s="5">
        <f>(C121-'Pesos GPS'!$L$4)/'Pesos GPS'!$L$5</f>
        <v>0.9986168506</v>
      </c>
      <c r="H121" s="5">
        <f>(D121-'Pesos GPS'!$L$6)/'Pesos GPS'!$L$7</f>
        <v>-0.9999925512</v>
      </c>
      <c r="I121" s="5">
        <f>MAX(0,G121*'Pesos GPS'!B$6+H121*'Pesos GPS'!B$7+'Pesos GPS'!B$8)</f>
        <v>2.667838008</v>
      </c>
      <c r="J121" s="5">
        <f>MAX(0,G121*'Pesos GPS'!C$6+H121*'Pesos GPS'!C$7+'Pesos GPS'!C$8)</f>
        <v>0.3490233734</v>
      </c>
      <c r="K121" s="5">
        <f>MAX(0,G121*'Pesos GPS'!D$6+H121*'Pesos GPS'!D$7+'Pesos GPS'!D$8)</f>
        <v>0.4744383738</v>
      </c>
      <c r="L121" s="5">
        <f>MAX(0,G121*'Pesos GPS'!E$6+H121*'Pesos GPS'!E$7+'Pesos GPS'!E$8)</f>
        <v>1.787140484</v>
      </c>
      <c r="M121" s="5">
        <f>MAX(0,I121*'Pesos GPS'!B$13+J121*'Pesos GPS'!B$14+K121*'Pesos GPS'!B$15+L121*'Pesos GPS'!B$16+'Pesos GPS'!B$17)</f>
        <v>0</v>
      </c>
      <c r="N121" s="5">
        <f>MAX(0,I121*'Pesos GPS'!C$13+J121*'Pesos GPS'!C$14+K121*'Pesos GPS'!C$15+L121*'Pesos GPS'!C$16+'Pesos GPS'!C$17)</f>
        <v>0</v>
      </c>
      <c r="O121" s="5">
        <f>MAX(0,I121*'Pesos GPS'!D$13+J121*'Pesos GPS'!D$14+K121*'Pesos GPS'!D$15+L121*'Pesos GPS'!D$16+'Pesos GPS'!D$17)</f>
        <v>4.333791452</v>
      </c>
      <c r="P121" s="5">
        <f>MAX(0,I121*'Pesos GPS'!E$13+J121*'Pesos GPS'!E$14+K121*'Pesos GPS'!E$15+L121*'Pesos GPS'!E$16+'Pesos GPS'!E$17)</f>
        <v>3.44712739</v>
      </c>
      <c r="Q121" s="5">
        <f>MAX(0,I121*'Pesos GPS'!F$13+J121*'Pesos GPS'!F$14+K121*'Pesos GPS'!F$15+L121*'Pesos GPS'!F$16+'Pesos GPS'!F$17)</f>
        <v>0</v>
      </c>
      <c r="R121" s="5">
        <f>MAX(0,I121*'Pesos GPS'!G$13+J121*'Pesos GPS'!G$14+K121*'Pesos GPS'!G$15+L121*'Pesos GPS'!G$16+'Pesos GPS'!G$17)</f>
        <v>1.079786617</v>
      </c>
      <c r="S121" s="5">
        <f>MAX(0,I121*'Pesos GPS'!H$13+J121*'Pesos GPS'!H$14+K121*'Pesos GPS'!H$15+L121*'Pesos GPS'!H$16+'Pesos GPS'!H$17)</f>
        <v>0.0002801017298</v>
      </c>
      <c r="T121" s="5">
        <f>MAX(0,I121*'Pesos GPS'!I$13+J121*'Pesos GPS'!I$14+K121*'Pesos GPS'!I$15+L121*'Pesos GPS'!I$16+'Pesos GPS'!I$17)</f>
        <v>0</v>
      </c>
      <c r="U121" s="5">
        <f>M121*'Pesos GPS'!$B$22+N121*'Pesos GPS'!$B$23+O121*'Pesos GPS'!$B$24+P121*'Pesos GPS'!$B$25+Q121*'Pesos GPS'!$B$26+R121*'Pesos GPS'!$B$27+S121*'Pesos GPS'!$B$28+T121*'Pesos GPS'!$B$29+'Pesos GPS'!$B$30</f>
        <v>-4.194923754</v>
      </c>
      <c r="V121" s="5">
        <f t="shared" si="1"/>
        <v>0.0148481026</v>
      </c>
      <c r="W121" s="3">
        <f t="shared" si="2"/>
        <v>0</v>
      </c>
      <c r="X121" s="3">
        <f t="shared" si="3"/>
        <v>1</v>
      </c>
      <c r="Y121" s="9">
        <f t="shared" si="4"/>
        <v>0</v>
      </c>
      <c r="Z121" s="9">
        <v>0.014848102602032683</v>
      </c>
      <c r="AA121" s="3" t="str">
        <f t="shared" si="5"/>
        <v>OK</v>
      </c>
    </row>
    <row r="122" ht="15.75" customHeight="1">
      <c r="A122" s="3">
        <v>121.0</v>
      </c>
      <c r="B122" s="3" t="s">
        <v>15</v>
      </c>
      <c r="C122" s="7">
        <v>40.694377</v>
      </c>
      <c r="D122" s="7">
        <v>-74.024039</v>
      </c>
      <c r="E122" s="3">
        <v>0.0</v>
      </c>
      <c r="F122" s="3" t="s">
        <v>55</v>
      </c>
      <c r="G122" s="5">
        <f>(C122-'Pesos GPS'!$L$4)/'Pesos GPS'!$L$5</f>
        <v>0.9930103287</v>
      </c>
      <c r="H122" s="5">
        <f>(D122-'Pesos GPS'!$L$6)/'Pesos GPS'!$L$7</f>
        <v>-1.000161431</v>
      </c>
      <c r="I122" s="5">
        <f>MAX(0,G122*'Pesos GPS'!B$6+H122*'Pesos GPS'!B$7+'Pesos GPS'!B$8)</f>
        <v>2.665711088</v>
      </c>
      <c r="J122" s="5">
        <f>MAX(0,G122*'Pesos GPS'!C$6+H122*'Pesos GPS'!C$7+'Pesos GPS'!C$8)</f>
        <v>0.354919121</v>
      </c>
      <c r="K122" s="5">
        <f>MAX(0,G122*'Pesos GPS'!D$6+H122*'Pesos GPS'!D$7+'Pesos GPS'!D$8)</f>
        <v>0.4704761567</v>
      </c>
      <c r="L122" s="5">
        <f>MAX(0,G122*'Pesos GPS'!E$6+H122*'Pesos GPS'!E$7+'Pesos GPS'!E$8)</f>
        <v>1.7809566</v>
      </c>
      <c r="M122" s="5">
        <f>MAX(0,I122*'Pesos GPS'!B$13+J122*'Pesos GPS'!B$14+K122*'Pesos GPS'!B$15+L122*'Pesos GPS'!B$16+'Pesos GPS'!B$17)</f>
        <v>0</v>
      </c>
      <c r="N122" s="5">
        <f>MAX(0,I122*'Pesos GPS'!C$13+J122*'Pesos GPS'!C$14+K122*'Pesos GPS'!C$15+L122*'Pesos GPS'!C$16+'Pesos GPS'!C$17)</f>
        <v>0</v>
      </c>
      <c r="O122" s="5">
        <f>MAX(0,I122*'Pesos GPS'!D$13+J122*'Pesos GPS'!D$14+K122*'Pesos GPS'!D$15+L122*'Pesos GPS'!D$16+'Pesos GPS'!D$17)</f>
        <v>4.329606833</v>
      </c>
      <c r="P122" s="5">
        <f>MAX(0,I122*'Pesos GPS'!E$13+J122*'Pesos GPS'!E$14+K122*'Pesos GPS'!E$15+L122*'Pesos GPS'!E$16+'Pesos GPS'!E$17)</f>
        <v>3.439099255</v>
      </c>
      <c r="Q122" s="5">
        <f>MAX(0,I122*'Pesos GPS'!F$13+J122*'Pesos GPS'!F$14+K122*'Pesos GPS'!F$15+L122*'Pesos GPS'!F$16+'Pesos GPS'!F$17)</f>
        <v>0</v>
      </c>
      <c r="R122" s="5">
        <f>MAX(0,I122*'Pesos GPS'!G$13+J122*'Pesos GPS'!G$14+K122*'Pesos GPS'!G$15+L122*'Pesos GPS'!G$16+'Pesos GPS'!G$17)</f>
        <v>1.077659405</v>
      </c>
      <c r="S122" s="5">
        <f>MAX(0,I122*'Pesos GPS'!H$13+J122*'Pesos GPS'!H$14+K122*'Pesos GPS'!H$15+L122*'Pesos GPS'!H$16+'Pesos GPS'!H$17)</f>
        <v>0.003488049624</v>
      </c>
      <c r="T122" s="5">
        <f>MAX(0,I122*'Pesos GPS'!I$13+J122*'Pesos GPS'!I$14+K122*'Pesos GPS'!I$15+L122*'Pesos GPS'!I$16+'Pesos GPS'!I$17)</f>
        <v>0</v>
      </c>
      <c r="U122" s="5">
        <f>M122*'Pesos GPS'!$B$22+N122*'Pesos GPS'!$B$23+O122*'Pesos GPS'!$B$24+P122*'Pesos GPS'!$B$25+Q122*'Pesos GPS'!$B$26+R122*'Pesos GPS'!$B$27+S122*'Pesos GPS'!$B$28+T122*'Pesos GPS'!$B$29+'Pesos GPS'!$B$30</f>
        <v>-4.184935872</v>
      </c>
      <c r="V122" s="5">
        <f t="shared" si="1"/>
        <v>0.01499491187</v>
      </c>
      <c r="W122" s="3">
        <f t="shared" si="2"/>
        <v>0</v>
      </c>
      <c r="X122" s="3">
        <f t="shared" si="3"/>
        <v>1</v>
      </c>
      <c r="Y122" s="9">
        <f t="shared" si="4"/>
        <v>0</v>
      </c>
      <c r="Z122" s="9">
        <v>0.014994911873696141</v>
      </c>
      <c r="AA122" s="3" t="str">
        <f t="shared" si="5"/>
        <v>OK</v>
      </c>
    </row>
    <row r="123" ht="15.75" customHeight="1">
      <c r="A123" s="3">
        <v>122.0</v>
      </c>
      <c r="B123" s="3" t="s">
        <v>15</v>
      </c>
      <c r="C123" s="7">
        <v>40.716027</v>
      </c>
      <c r="D123" s="7">
        <v>-73.998088</v>
      </c>
      <c r="E123" s="3">
        <v>0.0</v>
      </c>
      <c r="F123" s="3" t="s">
        <v>55</v>
      </c>
      <c r="G123" s="5">
        <f>(C123-'Pesos GPS'!$L$4)/'Pesos GPS'!$L$5</f>
        <v>1.001609776</v>
      </c>
      <c r="H123" s="5">
        <f>(D123-'Pesos GPS'!$L$6)/'Pesos GPS'!$L$7</f>
        <v>-0.9999185068</v>
      </c>
      <c r="I123" s="5">
        <f>MAX(0,G123*'Pesos GPS'!B$6+H123*'Pesos GPS'!B$7+'Pesos GPS'!B$8)</f>
        <v>2.669007064</v>
      </c>
      <c r="J123" s="5">
        <f>MAX(0,G123*'Pesos GPS'!C$6+H123*'Pesos GPS'!C$7+'Pesos GPS'!C$8)</f>
        <v>0.3458974855</v>
      </c>
      <c r="K123" s="5">
        <f>MAX(0,G123*'Pesos GPS'!D$6+H123*'Pesos GPS'!D$7+'Pesos GPS'!D$8)</f>
        <v>0.4765506715</v>
      </c>
      <c r="L123" s="5">
        <f>MAX(0,G123*'Pesos GPS'!E$6+H123*'Pesos GPS'!E$7+'Pesos GPS'!E$8)</f>
        <v>1.790449572</v>
      </c>
      <c r="M123" s="5">
        <f>MAX(0,I123*'Pesos GPS'!B$13+J123*'Pesos GPS'!B$14+K123*'Pesos GPS'!B$15+L123*'Pesos GPS'!B$16+'Pesos GPS'!B$17)</f>
        <v>0</v>
      </c>
      <c r="N123" s="5">
        <f>MAX(0,I123*'Pesos GPS'!C$13+J123*'Pesos GPS'!C$14+K123*'Pesos GPS'!C$15+L123*'Pesos GPS'!C$16+'Pesos GPS'!C$17)</f>
        <v>0</v>
      </c>
      <c r="O123" s="5">
        <f>MAX(0,I123*'Pesos GPS'!D$13+J123*'Pesos GPS'!D$14+K123*'Pesos GPS'!D$15+L123*'Pesos GPS'!D$16+'Pesos GPS'!D$17)</f>
        <v>4.336077461</v>
      </c>
      <c r="P123" s="5">
        <f>MAX(0,I123*'Pesos GPS'!E$13+J123*'Pesos GPS'!E$14+K123*'Pesos GPS'!E$15+L123*'Pesos GPS'!E$16+'Pesos GPS'!E$17)</f>
        <v>3.451440973</v>
      </c>
      <c r="Q123" s="5">
        <f>MAX(0,I123*'Pesos GPS'!F$13+J123*'Pesos GPS'!F$14+K123*'Pesos GPS'!F$15+L123*'Pesos GPS'!F$16+'Pesos GPS'!F$17)</f>
        <v>0</v>
      </c>
      <c r="R123" s="5">
        <f>MAX(0,I123*'Pesos GPS'!G$13+J123*'Pesos GPS'!G$14+K123*'Pesos GPS'!G$15+L123*'Pesos GPS'!G$16+'Pesos GPS'!G$17)</f>
        <v>1.080933487</v>
      </c>
      <c r="S123" s="5">
        <f>MAX(0,I123*'Pesos GPS'!H$13+J123*'Pesos GPS'!H$14+K123*'Pesos GPS'!H$15+L123*'Pesos GPS'!H$16+'Pesos GPS'!H$17)</f>
        <v>0</v>
      </c>
      <c r="T123" s="5">
        <f>MAX(0,I123*'Pesos GPS'!I$13+J123*'Pesos GPS'!I$14+K123*'Pesos GPS'!I$15+L123*'Pesos GPS'!I$16+'Pesos GPS'!I$17)</f>
        <v>0</v>
      </c>
      <c r="U123" s="5">
        <f>M123*'Pesos GPS'!$B$22+N123*'Pesos GPS'!$B$23+O123*'Pesos GPS'!$B$24+P123*'Pesos GPS'!$B$25+Q123*'Pesos GPS'!$B$26+R123*'Pesos GPS'!$B$27+S123*'Pesos GPS'!$B$28+T123*'Pesos GPS'!$B$29+'Pesos GPS'!$B$30</f>
        <v>-4.199883759</v>
      </c>
      <c r="V123" s="5">
        <f t="shared" si="1"/>
        <v>0.01477572377</v>
      </c>
      <c r="W123" s="3">
        <f t="shared" si="2"/>
        <v>0</v>
      </c>
      <c r="X123" s="3">
        <f t="shared" si="3"/>
        <v>1</v>
      </c>
      <c r="Y123" s="9">
        <f t="shared" si="4"/>
        <v>0</v>
      </c>
      <c r="Z123" s="9">
        <v>0.014775723770481112</v>
      </c>
      <c r="AA123" s="3" t="str">
        <f t="shared" si="5"/>
        <v>OK</v>
      </c>
    </row>
    <row r="124" ht="15.75" customHeight="1">
      <c r="A124" s="3">
        <v>123.0</v>
      </c>
      <c r="B124" s="3" t="s">
        <v>15</v>
      </c>
      <c r="C124" s="7">
        <v>40.71676</v>
      </c>
      <c r="D124" s="7">
        <v>-74.008432</v>
      </c>
      <c r="E124" s="3">
        <v>0.0</v>
      </c>
      <c r="F124" s="3" t="s">
        <v>55</v>
      </c>
      <c r="G124" s="5">
        <f>(C124-'Pesos GPS'!$L$4)/'Pesos GPS'!$L$5</f>
        <v>1.001900926</v>
      </c>
      <c r="H124" s="5">
        <f>(D124-'Pesos GPS'!$L$6)/'Pesos GPS'!$L$7</f>
        <v>-1.000015336</v>
      </c>
      <c r="I124" s="5">
        <f>MAX(0,G124*'Pesos GPS'!B$6+H124*'Pesos GPS'!B$7+'Pesos GPS'!B$8)</f>
        <v>2.669338071</v>
      </c>
      <c r="J124" s="5">
        <f>MAX(0,G124*'Pesos GPS'!C$6+H124*'Pesos GPS'!C$7+'Pesos GPS'!C$8)</f>
        <v>0.345731832</v>
      </c>
      <c r="K124" s="5">
        <f>MAX(0,G124*'Pesos GPS'!D$6+H124*'Pesos GPS'!D$7+'Pesos GPS'!D$8)</f>
        <v>0.4767377502</v>
      </c>
      <c r="L124" s="5">
        <f>MAX(0,G124*'Pesos GPS'!E$6+H124*'Pesos GPS'!E$7+'Pesos GPS'!E$8)</f>
        <v>1.790822822</v>
      </c>
      <c r="M124" s="5">
        <f>MAX(0,I124*'Pesos GPS'!B$13+J124*'Pesos GPS'!B$14+K124*'Pesos GPS'!B$15+L124*'Pesos GPS'!B$16+'Pesos GPS'!B$17)</f>
        <v>0</v>
      </c>
      <c r="N124" s="5">
        <f>MAX(0,I124*'Pesos GPS'!C$13+J124*'Pesos GPS'!C$14+K124*'Pesos GPS'!C$15+L124*'Pesos GPS'!C$16+'Pesos GPS'!C$17)</f>
        <v>0</v>
      </c>
      <c r="O124" s="5">
        <f>MAX(0,I124*'Pesos GPS'!D$13+J124*'Pesos GPS'!D$14+K124*'Pesos GPS'!D$15+L124*'Pesos GPS'!D$16+'Pesos GPS'!D$17)</f>
        <v>4.336636556</v>
      </c>
      <c r="P124" s="5">
        <f>MAX(0,I124*'Pesos GPS'!E$13+J124*'Pesos GPS'!E$14+K124*'Pesos GPS'!E$15+L124*'Pesos GPS'!E$16+'Pesos GPS'!E$17)</f>
        <v>3.452040979</v>
      </c>
      <c r="Q124" s="5">
        <f>MAX(0,I124*'Pesos GPS'!F$13+J124*'Pesos GPS'!F$14+K124*'Pesos GPS'!F$15+L124*'Pesos GPS'!F$16+'Pesos GPS'!F$17)</f>
        <v>0</v>
      </c>
      <c r="R124" s="5">
        <f>MAX(0,I124*'Pesos GPS'!G$13+J124*'Pesos GPS'!G$14+K124*'Pesos GPS'!G$15+L124*'Pesos GPS'!G$16+'Pesos GPS'!G$17)</f>
        <v>1.081118045</v>
      </c>
      <c r="S124" s="5">
        <f>MAX(0,I124*'Pesos GPS'!H$13+J124*'Pesos GPS'!H$14+K124*'Pesos GPS'!H$15+L124*'Pesos GPS'!H$16+'Pesos GPS'!H$17)</f>
        <v>0</v>
      </c>
      <c r="T124" s="5">
        <f>MAX(0,I124*'Pesos GPS'!I$13+J124*'Pesos GPS'!I$14+K124*'Pesos GPS'!I$15+L124*'Pesos GPS'!I$16+'Pesos GPS'!I$17)</f>
        <v>0</v>
      </c>
      <c r="U124" s="5">
        <f>M124*'Pesos GPS'!$B$22+N124*'Pesos GPS'!$B$23+O124*'Pesos GPS'!$B$24+P124*'Pesos GPS'!$B$25+Q124*'Pesos GPS'!$B$26+R124*'Pesos GPS'!$B$27+S124*'Pesos GPS'!$B$28+T124*'Pesos GPS'!$B$29+'Pesos GPS'!$B$30</f>
        <v>-4.20082051</v>
      </c>
      <c r="V124" s="5">
        <f t="shared" si="1"/>
        <v>0.0147620933</v>
      </c>
      <c r="W124" s="3">
        <f t="shared" si="2"/>
        <v>0</v>
      </c>
      <c r="X124" s="3">
        <f t="shared" si="3"/>
        <v>1</v>
      </c>
      <c r="Y124" s="9">
        <f t="shared" si="4"/>
        <v>0</v>
      </c>
      <c r="Z124" s="9">
        <v>0.0147620932965895</v>
      </c>
      <c r="AA124" s="3" t="str">
        <f t="shared" si="5"/>
        <v>OK</v>
      </c>
    </row>
    <row r="125" ht="15.75" customHeight="1">
      <c r="A125" s="3">
        <v>124.0</v>
      </c>
      <c r="B125" s="3" t="s">
        <v>15</v>
      </c>
      <c r="C125" s="7">
        <v>40.737265</v>
      </c>
      <c r="D125" s="7">
        <v>-73.953671</v>
      </c>
      <c r="E125" s="3">
        <v>0.0</v>
      </c>
      <c r="F125" s="3" t="s">
        <v>55</v>
      </c>
      <c r="G125" s="5">
        <f>(C125-'Pesos GPS'!$L$4)/'Pesos GPS'!$L$5</f>
        <v>1.010045576</v>
      </c>
      <c r="H125" s="5">
        <f>(D125-'Pesos GPS'!$L$6)/'Pesos GPS'!$L$7</f>
        <v>-0.9995027251</v>
      </c>
      <c r="I125" s="5">
        <f>MAX(0,G125*'Pesos GPS'!B$6+H125*'Pesos GPS'!B$7+'Pesos GPS'!B$8)</f>
        <v>2.671869629</v>
      </c>
      <c r="J125" s="5">
        <f>MAX(0,G125*'Pesos GPS'!C$6+H125*'Pesos GPS'!C$7+'Pesos GPS'!C$8)</f>
        <v>0.3368113656</v>
      </c>
      <c r="K125" s="5">
        <f>MAX(0,G125*'Pesos GPS'!D$6+H125*'Pesos GPS'!D$7+'Pesos GPS'!D$8)</f>
        <v>0.4825409862</v>
      </c>
      <c r="L125" s="5">
        <f>MAX(0,G125*'Pesos GPS'!E$6+H125*'Pesos GPS'!E$7+'Pesos GPS'!E$8)</f>
        <v>1.799674298</v>
      </c>
      <c r="M125" s="5">
        <f>MAX(0,I125*'Pesos GPS'!B$13+J125*'Pesos GPS'!B$14+K125*'Pesos GPS'!B$15+L125*'Pesos GPS'!B$16+'Pesos GPS'!B$17)</f>
        <v>0</v>
      </c>
      <c r="N125" s="5">
        <f>MAX(0,I125*'Pesos GPS'!C$13+J125*'Pesos GPS'!C$14+K125*'Pesos GPS'!C$15+L125*'Pesos GPS'!C$16+'Pesos GPS'!C$17)</f>
        <v>0</v>
      </c>
      <c r="O125" s="5">
        <f>MAX(0,I125*'Pesos GPS'!D$13+J125*'Pesos GPS'!D$14+K125*'Pesos GPS'!D$15+L125*'Pesos GPS'!D$16+'Pesos GPS'!D$17)</f>
        <v>4.341850511</v>
      </c>
      <c r="P125" s="5">
        <f>MAX(0,I125*'Pesos GPS'!E$13+J125*'Pesos GPS'!E$14+K125*'Pesos GPS'!E$15+L125*'Pesos GPS'!E$16+'Pesos GPS'!E$17)</f>
        <v>3.463240091</v>
      </c>
      <c r="Q125" s="5">
        <f>MAX(0,I125*'Pesos GPS'!F$13+J125*'Pesos GPS'!F$14+K125*'Pesos GPS'!F$15+L125*'Pesos GPS'!F$16+'Pesos GPS'!F$17)</f>
        <v>0</v>
      </c>
      <c r="R125" s="5">
        <f>MAX(0,I125*'Pesos GPS'!G$13+J125*'Pesos GPS'!G$14+K125*'Pesos GPS'!G$15+L125*'Pesos GPS'!G$16+'Pesos GPS'!G$17)</f>
        <v>1.084020741</v>
      </c>
      <c r="S125" s="5">
        <f>MAX(0,I125*'Pesos GPS'!H$13+J125*'Pesos GPS'!H$14+K125*'Pesos GPS'!H$15+L125*'Pesos GPS'!H$16+'Pesos GPS'!H$17)</f>
        <v>0</v>
      </c>
      <c r="T125" s="5">
        <f>MAX(0,I125*'Pesos GPS'!I$13+J125*'Pesos GPS'!I$14+K125*'Pesos GPS'!I$15+L125*'Pesos GPS'!I$16+'Pesos GPS'!I$17)</f>
        <v>0</v>
      </c>
      <c r="U125" s="5">
        <f>M125*'Pesos GPS'!$B$22+N125*'Pesos GPS'!$B$23+O125*'Pesos GPS'!$B$24+P125*'Pesos GPS'!$B$25+Q125*'Pesos GPS'!$B$26+R125*'Pesos GPS'!$B$27+S125*'Pesos GPS'!$B$28+T125*'Pesos GPS'!$B$29+'Pesos GPS'!$B$30</f>
        <v>-4.212698514</v>
      </c>
      <c r="V125" s="5">
        <f t="shared" si="1"/>
        <v>0.01459032955</v>
      </c>
      <c r="W125" s="3">
        <f t="shared" si="2"/>
        <v>0</v>
      </c>
      <c r="X125" s="3">
        <f t="shared" si="3"/>
        <v>1</v>
      </c>
      <c r="Y125" s="9">
        <f t="shared" si="4"/>
        <v>0</v>
      </c>
      <c r="Z125" s="9">
        <v>0.014590329553842254</v>
      </c>
      <c r="AA125" s="3" t="str">
        <f t="shared" si="5"/>
        <v>OK</v>
      </c>
    </row>
    <row r="126" ht="15.75" customHeight="1">
      <c r="A126" s="3">
        <v>125.0</v>
      </c>
      <c r="B126" s="3" t="s">
        <v>15</v>
      </c>
      <c r="C126" s="7">
        <v>40.727832</v>
      </c>
      <c r="D126" s="7">
        <v>-73.966666</v>
      </c>
      <c r="E126" s="3">
        <v>0.0</v>
      </c>
      <c r="F126" s="3" t="s">
        <v>55</v>
      </c>
      <c r="G126" s="5">
        <f>(C126-'Pesos GPS'!$L$4)/'Pesos GPS'!$L$5</f>
        <v>1.006298759</v>
      </c>
      <c r="H126" s="5">
        <f>(D126-'Pesos GPS'!$L$6)/'Pesos GPS'!$L$7</f>
        <v>-0.9996243696</v>
      </c>
      <c r="I126" s="5">
        <f>MAX(0,G126*'Pesos GPS'!B$6+H126*'Pesos GPS'!B$7+'Pesos GPS'!B$8)</f>
        <v>2.670466561</v>
      </c>
      <c r="J126" s="5">
        <f>MAX(0,G126*'Pesos GPS'!C$6+H126*'Pesos GPS'!C$7+'Pesos GPS'!C$8)</f>
        <v>0.3407631582</v>
      </c>
      <c r="K126" s="5">
        <f>MAX(0,G126*'Pesos GPS'!D$6+H126*'Pesos GPS'!D$7+'Pesos GPS'!D$8)</f>
        <v>0.4798914981</v>
      </c>
      <c r="L126" s="5">
        <f>MAX(0,G126*'Pesos GPS'!E$6+H126*'Pesos GPS'!E$7+'Pesos GPS'!E$8)</f>
        <v>1.795545967</v>
      </c>
      <c r="M126" s="5">
        <f>MAX(0,I126*'Pesos GPS'!B$13+J126*'Pesos GPS'!B$14+K126*'Pesos GPS'!B$15+L126*'Pesos GPS'!B$16+'Pesos GPS'!B$17)</f>
        <v>0</v>
      </c>
      <c r="N126" s="5">
        <f>MAX(0,I126*'Pesos GPS'!C$13+J126*'Pesos GPS'!C$14+K126*'Pesos GPS'!C$15+L126*'Pesos GPS'!C$16+'Pesos GPS'!C$17)</f>
        <v>0</v>
      </c>
      <c r="O126" s="5">
        <f>MAX(0,I126*'Pesos GPS'!D$13+J126*'Pesos GPS'!D$14+K126*'Pesos GPS'!D$15+L126*'Pesos GPS'!D$16+'Pesos GPS'!D$17)</f>
        <v>4.339082374</v>
      </c>
      <c r="P126" s="5">
        <f>MAX(0,I126*'Pesos GPS'!E$13+J126*'Pesos GPS'!E$14+K126*'Pesos GPS'!E$15+L126*'Pesos GPS'!E$16+'Pesos GPS'!E$17)</f>
        <v>3.457890149</v>
      </c>
      <c r="Q126" s="5">
        <f>MAX(0,I126*'Pesos GPS'!F$13+J126*'Pesos GPS'!F$14+K126*'Pesos GPS'!F$15+L126*'Pesos GPS'!F$16+'Pesos GPS'!F$17)</f>
        <v>0</v>
      </c>
      <c r="R126" s="5">
        <f>MAX(0,I126*'Pesos GPS'!G$13+J126*'Pesos GPS'!G$14+K126*'Pesos GPS'!G$15+L126*'Pesos GPS'!G$16+'Pesos GPS'!G$17)</f>
        <v>1.082605295</v>
      </c>
      <c r="S126" s="5">
        <f>MAX(0,I126*'Pesos GPS'!H$13+J126*'Pesos GPS'!H$14+K126*'Pesos GPS'!H$15+L126*'Pesos GPS'!H$16+'Pesos GPS'!H$17)</f>
        <v>0</v>
      </c>
      <c r="T126" s="5">
        <f>MAX(0,I126*'Pesos GPS'!I$13+J126*'Pesos GPS'!I$14+K126*'Pesos GPS'!I$15+L126*'Pesos GPS'!I$16+'Pesos GPS'!I$17)</f>
        <v>0</v>
      </c>
      <c r="U126" s="5">
        <f>M126*'Pesos GPS'!$B$22+N126*'Pesos GPS'!$B$23+O126*'Pesos GPS'!$B$24+P126*'Pesos GPS'!$B$25+Q126*'Pesos GPS'!$B$26+R126*'Pesos GPS'!$B$27+S126*'Pesos GPS'!$B$28+T126*'Pesos GPS'!$B$29+'Pesos GPS'!$B$30</f>
        <v>-4.206726439</v>
      </c>
      <c r="V126" s="5">
        <f t="shared" si="1"/>
        <v>0.01467644215</v>
      </c>
      <c r="W126" s="3">
        <f t="shared" si="2"/>
        <v>0</v>
      </c>
      <c r="X126" s="3">
        <f t="shared" si="3"/>
        <v>1</v>
      </c>
      <c r="Y126" s="9">
        <f t="shared" si="4"/>
        <v>0</v>
      </c>
      <c r="Z126" s="9">
        <v>0.014676442153499187</v>
      </c>
      <c r="AA126" s="3" t="str">
        <f t="shared" si="5"/>
        <v>OK</v>
      </c>
    </row>
    <row r="127" ht="15.75" customHeight="1">
      <c r="A127" s="3">
        <v>126.0</v>
      </c>
      <c r="B127" s="3" t="s">
        <v>15</v>
      </c>
      <c r="C127" s="7">
        <v>40.719224</v>
      </c>
      <c r="D127" s="7">
        <v>-73.996354</v>
      </c>
      <c r="E127" s="3">
        <v>0.0</v>
      </c>
      <c r="F127" s="3" t="s">
        <v>55</v>
      </c>
      <c r="G127" s="5">
        <f>(C127-'Pesos GPS'!$L$4)/'Pesos GPS'!$L$5</f>
        <v>1.002879634</v>
      </c>
      <c r="H127" s="5">
        <f>(D127-'Pesos GPS'!$L$6)/'Pesos GPS'!$L$7</f>
        <v>-0.999902275</v>
      </c>
      <c r="I127" s="5">
        <f>MAX(0,G127*'Pesos GPS'!B$6+H127*'Pesos GPS'!B$7+'Pesos GPS'!B$8)</f>
        <v>2.669534793</v>
      </c>
      <c r="J127" s="5">
        <f>MAX(0,G127*'Pesos GPS'!C$6+H127*'Pesos GPS'!C$7+'Pesos GPS'!C$8)</f>
        <v>0.3445914181</v>
      </c>
      <c r="K127" s="5">
        <f>MAX(0,G127*'Pesos GPS'!D$6+H127*'Pesos GPS'!D$7+'Pesos GPS'!D$8)</f>
        <v>0.477444205</v>
      </c>
      <c r="L127" s="5">
        <f>MAX(0,G127*'Pesos GPS'!E$6+H127*'Pesos GPS'!E$7+'Pesos GPS'!E$8)</f>
        <v>1.791861068</v>
      </c>
      <c r="M127" s="5">
        <f>MAX(0,I127*'Pesos GPS'!B$13+J127*'Pesos GPS'!B$14+K127*'Pesos GPS'!B$15+L127*'Pesos GPS'!B$16+'Pesos GPS'!B$17)</f>
        <v>0</v>
      </c>
      <c r="N127" s="5">
        <f>MAX(0,I127*'Pesos GPS'!C$13+J127*'Pesos GPS'!C$14+K127*'Pesos GPS'!C$15+L127*'Pesos GPS'!C$16+'Pesos GPS'!C$17)</f>
        <v>0</v>
      </c>
      <c r="O127" s="5">
        <f>MAX(0,I127*'Pesos GPS'!D$13+J127*'Pesos GPS'!D$14+K127*'Pesos GPS'!D$15+L127*'Pesos GPS'!D$16+'Pesos GPS'!D$17)</f>
        <v>4.33709653</v>
      </c>
      <c r="P127" s="5">
        <f>MAX(0,I127*'Pesos GPS'!E$13+J127*'Pesos GPS'!E$14+K127*'Pesos GPS'!E$15+L127*'Pesos GPS'!E$16+'Pesos GPS'!E$17)</f>
        <v>3.453297498</v>
      </c>
      <c r="Q127" s="5">
        <f>MAX(0,I127*'Pesos GPS'!F$13+J127*'Pesos GPS'!F$14+K127*'Pesos GPS'!F$15+L127*'Pesos GPS'!F$16+'Pesos GPS'!F$17)</f>
        <v>0</v>
      </c>
      <c r="R127" s="5">
        <f>MAX(0,I127*'Pesos GPS'!G$13+J127*'Pesos GPS'!G$14+K127*'Pesos GPS'!G$15+L127*'Pesos GPS'!G$16+'Pesos GPS'!G$17)</f>
        <v>1.081430743</v>
      </c>
      <c r="S127" s="5">
        <f>MAX(0,I127*'Pesos GPS'!H$13+J127*'Pesos GPS'!H$14+K127*'Pesos GPS'!H$15+L127*'Pesos GPS'!H$16+'Pesos GPS'!H$17)</f>
        <v>0</v>
      </c>
      <c r="T127" s="5">
        <f>MAX(0,I127*'Pesos GPS'!I$13+J127*'Pesos GPS'!I$14+K127*'Pesos GPS'!I$15+L127*'Pesos GPS'!I$16+'Pesos GPS'!I$17)</f>
        <v>0</v>
      </c>
      <c r="U127" s="5">
        <f>M127*'Pesos GPS'!$B$22+N127*'Pesos GPS'!$B$23+O127*'Pesos GPS'!$B$24+P127*'Pesos GPS'!$B$25+Q127*'Pesos GPS'!$B$26+R127*'Pesos GPS'!$B$27+S127*'Pesos GPS'!$B$28+T127*'Pesos GPS'!$B$29+'Pesos GPS'!$B$30</f>
        <v>-4.202018962</v>
      </c>
      <c r="V127" s="5">
        <f t="shared" si="1"/>
        <v>0.01474467294</v>
      </c>
      <c r="W127" s="3">
        <f t="shared" si="2"/>
        <v>0</v>
      </c>
      <c r="X127" s="3">
        <f t="shared" si="3"/>
        <v>1</v>
      </c>
      <c r="Y127" s="9">
        <f t="shared" si="4"/>
        <v>0</v>
      </c>
      <c r="Z127" s="9">
        <v>0.014744672943572155</v>
      </c>
      <c r="AA127" s="3" t="str">
        <f t="shared" si="5"/>
        <v>OK</v>
      </c>
    </row>
    <row r="128" ht="15.75" customHeight="1">
      <c r="A128" s="3">
        <v>127.0</v>
      </c>
      <c r="B128" s="3" t="s">
        <v>15</v>
      </c>
      <c r="C128" s="7">
        <v>40.739139</v>
      </c>
      <c r="D128" s="7">
        <v>-74.025076</v>
      </c>
      <c r="E128" s="3">
        <v>0.0</v>
      </c>
      <c r="F128" s="3" t="s">
        <v>55</v>
      </c>
      <c r="G128" s="5">
        <f>(C128-'Pesos GPS'!$L$4)/'Pesos GPS'!$L$5</f>
        <v>1.010789934</v>
      </c>
      <c r="H128" s="5">
        <f>(D128-'Pesos GPS'!$L$6)/'Pesos GPS'!$L$7</f>
        <v>-1.000171138</v>
      </c>
      <c r="I128" s="5">
        <f>MAX(0,G128*'Pesos GPS'!B$6+H128*'Pesos GPS'!B$7+'Pesos GPS'!B$8)</f>
        <v>2.673594897</v>
      </c>
      <c r="J128" s="5">
        <f>MAX(0,G128*'Pesos GPS'!C$6+H128*'Pesos GPS'!C$7+'Pesos GPS'!C$8)</f>
        <v>0.3369478728</v>
      </c>
      <c r="K128" s="5">
        <f>MAX(0,G128*'Pesos GPS'!D$6+H128*'Pesos GPS'!D$7+'Pesos GPS'!D$8)</f>
        <v>0.4829448207</v>
      </c>
      <c r="L128" s="5">
        <f>MAX(0,G128*'Pesos GPS'!E$6+H128*'Pesos GPS'!E$7+'Pesos GPS'!E$8)</f>
        <v>1.800836268</v>
      </c>
      <c r="M128" s="5">
        <f>MAX(0,I128*'Pesos GPS'!B$13+J128*'Pesos GPS'!B$14+K128*'Pesos GPS'!B$15+L128*'Pesos GPS'!B$16+'Pesos GPS'!B$17)</f>
        <v>0</v>
      </c>
      <c r="N128" s="5">
        <f>MAX(0,I128*'Pesos GPS'!C$13+J128*'Pesos GPS'!C$14+K128*'Pesos GPS'!C$15+L128*'Pesos GPS'!C$16+'Pesos GPS'!C$17)</f>
        <v>0</v>
      </c>
      <c r="O128" s="5">
        <f>MAX(0,I128*'Pesos GPS'!D$13+J128*'Pesos GPS'!D$14+K128*'Pesos GPS'!D$15+L128*'Pesos GPS'!D$16+'Pesos GPS'!D$17)</f>
        <v>4.344642071</v>
      </c>
      <c r="P128" s="5">
        <f>MAX(0,I128*'Pesos GPS'!E$13+J128*'Pesos GPS'!E$14+K128*'Pesos GPS'!E$15+L128*'Pesos GPS'!E$16+'Pesos GPS'!E$17)</f>
        <v>3.46550381</v>
      </c>
      <c r="Q128" s="5">
        <f>MAX(0,I128*'Pesos GPS'!F$13+J128*'Pesos GPS'!F$14+K128*'Pesos GPS'!F$15+L128*'Pesos GPS'!F$16+'Pesos GPS'!F$17)</f>
        <v>0</v>
      </c>
      <c r="R128" s="5">
        <f>MAX(0,I128*'Pesos GPS'!G$13+J128*'Pesos GPS'!G$14+K128*'Pesos GPS'!G$15+L128*'Pesos GPS'!G$16+'Pesos GPS'!G$17)</f>
        <v>1.084787864</v>
      </c>
      <c r="S128" s="5">
        <f>MAX(0,I128*'Pesos GPS'!H$13+J128*'Pesos GPS'!H$14+K128*'Pesos GPS'!H$15+L128*'Pesos GPS'!H$16+'Pesos GPS'!H$17)</f>
        <v>0</v>
      </c>
      <c r="T128" s="5">
        <f>MAX(0,I128*'Pesos GPS'!I$13+J128*'Pesos GPS'!I$14+K128*'Pesos GPS'!I$15+L128*'Pesos GPS'!I$16+'Pesos GPS'!I$17)</f>
        <v>0</v>
      </c>
      <c r="U128" s="5">
        <f>M128*'Pesos GPS'!$B$22+N128*'Pesos GPS'!$B$23+O128*'Pesos GPS'!$B$24+P128*'Pesos GPS'!$B$25+Q128*'Pesos GPS'!$B$26+R128*'Pesos GPS'!$B$27+S128*'Pesos GPS'!$B$28+T128*'Pesos GPS'!$B$29+'Pesos GPS'!$B$30</f>
        <v>-4.216965197</v>
      </c>
      <c r="V128" s="5">
        <f t="shared" si="1"/>
        <v>0.0145291124</v>
      </c>
      <c r="W128" s="3">
        <f t="shared" si="2"/>
        <v>0</v>
      </c>
      <c r="X128" s="3">
        <f t="shared" si="3"/>
        <v>1</v>
      </c>
      <c r="Y128" s="9">
        <f t="shared" si="4"/>
        <v>0</v>
      </c>
      <c r="Z128" s="9">
        <v>0.014529112401695134</v>
      </c>
      <c r="AA128" s="3" t="str">
        <f t="shared" si="5"/>
        <v>OK</v>
      </c>
    </row>
    <row r="129" ht="15.75" customHeight="1">
      <c r="A129" s="3">
        <v>128.0</v>
      </c>
      <c r="B129" s="3" t="s">
        <v>15</v>
      </c>
      <c r="C129" s="7">
        <v>40.691402</v>
      </c>
      <c r="D129" s="7">
        <v>-74.03381</v>
      </c>
      <c r="E129" s="3">
        <v>0.0</v>
      </c>
      <c r="F129" s="3" t="s">
        <v>55</v>
      </c>
      <c r="G129" s="5">
        <f>(C129-'Pesos GPS'!$L$4)/'Pesos GPS'!$L$5</f>
        <v>0.9918286494</v>
      </c>
      <c r="H129" s="5">
        <f>(D129-'Pesos GPS'!$L$6)/'Pesos GPS'!$L$7</f>
        <v>-1.000252896</v>
      </c>
      <c r="I129" s="5">
        <f>MAX(0,G129*'Pesos GPS'!B$6+H129*'Pesos GPS'!B$7+'Pesos GPS'!B$8)</f>
        <v>2.665379492</v>
      </c>
      <c r="J129" s="5">
        <f>MAX(0,G129*'Pesos GPS'!C$6+H129*'Pesos GPS'!C$7+'Pesos GPS'!C$8)</f>
        <v>0.3562361046</v>
      </c>
      <c r="K129" s="5">
        <f>MAX(0,G129*'Pesos GPS'!D$6+H129*'Pesos GPS'!D$7+'Pesos GPS'!D$8)</f>
        <v>0.4696311614</v>
      </c>
      <c r="L129" s="5">
        <f>MAX(0,G129*'Pesos GPS'!E$6+H129*'Pesos GPS'!E$7+'Pesos GPS'!E$8)</f>
        <v>1.779680805</v>
      </c>
      <c r="M129" s="5">
        <f>MAX(0,I129*'Pesos GPS'!B$13+J129*'Pesos GPS'!B$14+K129*'Pesos GPS'!B$15+L129*'Pesos GPS'!B$16+'Pesos GPS'!B$17)</f>
        <v>0</v>
      </c>
      <c r="N129" s="5">
        <f>MAX(0,I129*'Pesos GPS'!C$13+J129*'Pesos GPS'!C$14+K129*'Pesos GPS'!C$15+L129*'Pesos GPS'!C$16+'Pesos GPS'!C$17)</f>
        <v>0</v>
      </c>
      <c r="O129" s="5">
        <f>MAX(0,I129*'Pesos GPS'!D$13+J129*'Pesos GPS'!D$14+K129*'Pesos GPS'!D$15+L129*'Pesos GPS'!D$16+'Pesos GPS'!D$17)</f>
        <v>4.328905679</v>
      </c>
      <c r="P129" s="5">
        <f>MAX(0,I129*'Pesos GPS'!E$13+J129*'Pesos GPS'!E$14+K129*'Pesos GPS'!E$15+L129*'Pesos GPS'!E$16+'Pesos GPS'!E$17)</f>
        <v>3.437504051</v>
      </c>
      <c r="Q129" s="5">
        <f>MAX(0,I129*'Pesos GPS'!F$13+J129*'Pesos GPS'!F$14+K129*'Pesos GPS'!F$15+L129*'Pesos GPS'!F$16+'Pesos GPS'!F$17)</f>
        <v>0</v>
      </c>
      <c r="R129" s="5">
        <f>MAX(0,I129*'Pesos GPS'!G$13+J129*'Pesos GPS'!G$14+K129*'Pesos GPS'!G$15+L129*'Pesos GPS'!G$16+'Pesos GPS'!G$17)</f>
        <v>1.077250255</v>
      </c>
      <c r="S129" s="5">
        <f>MAX(0,I129*'Pesos GPS'!H$13+J129*'Pesos GPS'!H$14+K129*'Pesos GPS'!H$15+L129*'Pesos GPS'!H$16+'Pesos GPS'!H$17)</f>
        <v>0.0042081682</v>
      </c>
      <c r="T129" s="5">
        <f>MAX(0,I129*'Pesos GPS'!I$13+J129*'Pesos GPS'!I$14+K129*'Pesos GPS'!I$15+L129*'Pesos GPS'!I$16+'Pesos GPS'!I$17)</f>
        <v>0</v>
      </c>
      <c r="U129" s="5">
        <f>M129*'Pesos GPS'!$B$22+N129*'Pesos GPS'!$B$23+O129*'Pesos GPS'!$B$24+P129*'Pesos GPS'!$B$25+Q129*'Pesos GPS'!$B$26+R129*'Pesos GPS'!$B$27+S129*'Pesos GPS'!$B$28+T129*'Pesos GPS'!$B$29+'Pesos GPS'!$B$30</f>
        <v>-4.183065606</v>
      </c>
      <c r="V129" s="5">
        <f t="shared" si="1"/>
        <v>0.01502256089</v>
      </c>
      <c r="W129" s="3">
        <f t="shared" si="2"/>
        <v>0</v>
      </c>
      <c r="X129" s="3">
        <f t="shared" si="3"/>
        <v>1</v>
      </c>
      <c r="Y129" s="9">
        <f t="shared" si="4"/>
        <v>0</v>
      </c>
      <c r="Z129" s="9">
        <v>0.015022560889533975</v>
      </c>
      <c r="AA129" s="3" t="str">
        <f t="shared" si="5"/>
        <v>OK</v>
      </c>
    </row>
    <row r="130" ht="15.75" customHeight="1">
      <c r="A130" s="3">
        <v>129.0</v>
      </c>
      <c r="B130" s="3" t="s">
        <v>15</v>
      </c>
      <c r="C130" s="7">
        <v>40.701284</v>
      </c>
      <c r="D130" s="7">
        <v>-73.976221</v>
      </c>
      <c r="E130" s="3">
        <v>0.0</v>
      </c>
      <c r="F130" s="3" t="s">
        <v>55</v>
      </c>
      <c r="G130" s="5">
        <f>(C130-'Pesos GPS'!$L$4)/'Pesos GPS'!$L$5</f>
        <v>0.9957538106</v>
      </c>
      <c r="H130" s="5">
        <f>(D130-'Pesos GPS'!$L$6)/'Pesos GPS'!$L$7</f>
        <v>-0.9997138127</v>
      </c>
      <c r="I130" s="5">
        <f>MAX(0,G130*'Pesos GPS'!B$6+H130*'Pesos GPS'!B$7+'Pesos GPS'!B$8)</f>
        <v>2.665989571</v>
      </c>
      <c r="J130" s="5">
        <f>MAX(0,G130*'Pesos GPS'!C$6+H130*'Pesos GPS'!C$7+'Pesos GPS'!C$8)</f>
        <v>0.3515484474</v>
      </c>
      <c r="K130" s="5">
        <f>MAX(0,G130*'Pesos GPS'!D$6+H130*'Pesos GPS'!D$7+'Pesos GPS'!D$8)</f>
        <v>0.4724795869</v>
      </c>
      <c r="L130" s="5">
        <f>MAX(0,G130*'Pesos GPS'!E$6+H130*'Pesos GPS'!E$7+'Pesos GPS'!E$8)</f>
        <v>1.783802474</v>
      </c>
      <c r="M130" s="5">
        <f>MAX(0,I130*'Pesos GPS'!B$13+J130*'Pesos GPS'!B$14+K130*'Pesos GPS'!B$15+L130*'Pesos GPS'!B$16+'Pesos GPS'!B$17)</f>
        <v>0</v>
      </c>
      <c r="N130" s="5">
        <f>MAX(0,I130*'Pesos GPS'!C$13+J130*'Pesos GPS'!C$14+K130*'Pesos GPS'!C$15+L130*'Pesos GPS'!C$16+'Pesos GPS'!C$17)</f>
        <v>0</v>
      </c>
      <c r="O130" s="5">
        <f>MAX(0,I130*'Pesos GPS'!D$13+J130*'Pesos GPS'!D$14+K130*'Pesos GPS'!D$15+L130*'Pesos GPS'!D$16+'Pesos GPS'!D$17)</f>
        <v>4.330473218</v>
      </c>
      <c r="P130" s="5">
        <f>MAX(0,I130*'Pesos GPS'!E$13+J130*'Pesos GPS'!E$14+K130*'Pesos GPS'!E$15+L130*'Pesos GPS'!E$16+'Pesos GPS'!E$17)</f>
        <v>3.442394879</v>
      </c>
      <c r="Q130" s="5">
        <f>MAX(0,I130*'Pesos GPS'!F$13+J130*'Pesos GPS'!F$14+K130*'Pesos GPS'!F$15+L130*'Pesos GPS'!F$16+'Pesos GPS'!F$17)</f>
        <v>0</v>
      </c>
      <c r="R130" s="5">
        <f>MAX(0,I130*'Pesos GPS'!G$13+J130*'Pesos GPS'!G$14+K130*'Pesos GPS'!G$15+L130*'Pesos GPS'!G$16+'Pesos GPS'!G$17)</f>
        <v>1.078444255</v>
      </c>
      <c r="S130" s="5">
        <f>MAX(0,I130*'Pesos GPS'!H$13+J130*'Pesos GPS'!H$14+K130*'Pesos GPS'!H$15+L130*'Pesos GPS'!H$16+'Pesos GPS'!H$17)</f>
        <v>0.00163095358</v>
      </c>
      <c r="T130" s="5">
        <f>MAX(0,I130*'Pesos GPS'!I$13+J130*'Pesos GPS'!I$14+K130*'Pesos GPS'!I$15+L130*'Pesos GPS'!I$16+'Pesos GPS'!I$17)</f>
        <v>0</v>
      </c>
      <c r="U130" s="5">
        <f>M130*'Pesos GPS'!$B$22+N130*'Pesos GPS'!$B$23+O130*'Pesos GPS'!$B$24+P130*'Pesos GPS'!$B$25+Q130*'Pesos GPS'!$B$26+R130*'Pesos GPS'!$B$27+S130*'Pesos GPS'!$B$28+T130*'Pesos GPS'!$B$29+'Pesos GPS'!$B$30</f>
        <v>-4.188289029</v>
      </c>
      <c r="V130" s="5">
        <f t="shared" si="1"/>
        <v>0.01494546599</v>
      </c>
      <c r="W130" s="3">
        <f t="shared" si="2"/>
        <v>0</v>
      </c>
      <c r="X130" s="3">
        <f t="shared" si="3"/>
        <v>1</v>
      </c>
      <c r="Y130" s="9">
        <f t="shared" si="4"/>
        <v>0</v>
      </c>
      <c r="Z130" s="9">
        <v>0.014945465986782895</v>
      </c>
      <c r="AA130" s="3" t="str">
        <f t="shared" si="5"/>
        <v>OK</v>
      </c>
    </row>
    <row r="131" ht="15.75" customHeight="1">
      <c r="A131" s="3">
        <v>130.0</v>
      </c>
      <c r="B131" s="3" t="s">
        <v>15</v>
      </c>
      <c r="C131" s="7">
        <v>40.696122</v>
      </c>
      <c r="D131" s="7">
        <v>-73.999431</v>
      </c>
      <c r="E131" s="3">
        <v>0.0</v>
      </c>
      <c r="F131" s="3" t="s">
        <v>55</v>
      </c>
      <c r="G131" s="5">
        <f>(C131-'Pesos GPS'!$L$4)/'Pesos GPS'!$L$5</f>
        <v>0.9937034481</v>
      </c>
      <c r="H131" s="5">
        <f>(D131-'Pesos GPS'!$L$6)/'Pesos GPS'!$L$7</f>
        <v>-0.9999310784</v>
      </c>
      <c r="I131" s="5">
        <f>MAX(0,G131*'Pesos GPS'!B$6+H131*'Pesos GPS'!B$7+'Pesos GPS'!B$8)</f>
        <v>2.665536524</v>
      </c>
      <c r="J131" s="5">
        <f>MAX(0,G131*'Pesos GPS'!C$6+H131*'Pesos GPS'!C$7+'Pesos GPS'!C$8)</f>
        <v>0.3539115066</v>
      </c>
      <c r="K131" s="5">
        <f>MAX(0,G131*'Pesos GPS'!D$6+H131*'Pesos GPS'!D$7+'Pesos GPS'!D$8)</f>
        <v>0.4710030532</v>
      </c>
      <c r="L131" s="5">
        <f>MAX(0,G131*'Pesos GPS'!E$6+H131*'Pesos GPS'!E$7+'Pesos GPS'!E$8)</f>
        <v>1.781617712</v>
      </c>
      <c r="M131" s="5">
        <f>MAX(0,I131*'Pesos GPS'!B$13+J131*'Pesos GPS'!B$14+K131*'Pesos GPS'!B$15+L131*'Pesos GPS'!B$16+'Pesos GPS'!B$17)</f>
        <v>0</v>
      </c>
      <c r="N131" s="5">
        <f>MAX(0,I131*'Pesos GPS'!C$13+J131*'Pesos GPS'!C$14+K131*'Pesos GPS'!C$15+L131*'Pesos GPS'!C$16+'Pesos GPS'!C$17)</f>
        <v>0</v>
      </c>
      <c r="O131" s="5">
        <f>MAX(0,I131*'Pesos GPS'!D$13+J131*'Pesos GPS'!D$14+K131*'Pesos GPS'!D$15+L131*'Pesos GPS'!D$16+'Pesos GPS'!D$17)</f>
        <v>4.329446174</v>
      </c>
      <c r="P131" s="5">
        <f>MAX(0,I131*'Pesos GPS'!E$13+J131*'Pesos GPS'!E$14+K131*'Pesos GPS'!E$15+L131*'Pesos GPS'!E$16+'Pesos GPS'!E$17)</f>
        <v>3.439728541</v>
      </c>
      <c r="Q131" s="5">
        <f>MAX(0,I131*'Pesos GPS'!F$13+J131*'Pesos GPS'!F$14+K131*'Pesos GPS'!F$15+L131*'Pesos GPS'!F$16+'Pesos GPS'!F$17)</f>
        <v>0</v>
      </c>
      <c r="R131" s="5">
        <f>MAX(0,I131*'Pesos GPS'!G$13+J131*'Pesos GPS'!G$14+K131*'Pesos GPS'!G$15+L131*'Pesos GPS'!G$16+'Pesos GPS'!G$17)</f>
        <v>1.077775416</v>
      </c>
      <c r="S131" s="5">
        <f>MAX(0,I131*'Pesos GPS'!H$13+J131*'Pesos GPS'!H$14+K131*'Pesos GPS'!H$15+L131*'Pesos GPS'!H$16+'Pesos GPS'!H$17)</f>
        <v>0.00292655281</v>
      </c>
      <c r="T131" s="5">
        <f>MAX(0,I131*'Pesos GPS'!I$13+J131*'Pesos GPS'!I$14+K131*'Pesos GPS'!I$15+L131*'Pesos GPS'!I$16+'Pesos GPS'!I$17)</f>
        <v>0</v>
      </c>
      <c r="U131" s="5">
        <f>M131*'Pesos GPS'!$B$22+N131*'Pesos GPS'!$B$23+O131*'Pesos GPS'!$B$24+P131*'Pesos GPS'!$B$25+Q131*'Pesos GPS'!$B$26+R131*'Pesos GPS'!$B$27+S131*'Pesos GPS'!$B$28+T131*'Pesos GPS'!$B$29+'Pesos GPS'!$B$30</f>
        <v>-4.185290065</v>
      </c>
      <c r="V131" s="5">
        <f t="shared" si="1"/>
        <v>0.01498968131</v>
      </c>
      <c r="W131" s="3">
        <f t="shared" si="2"/>
        <v>0</v>
      </c>
      <c r="X131" s="3">
        <f t="shared" si="3"/>
        <v>1</v>
      </c>
      <c r="Y131" s="9">
        <f t="shared" si="4"/>
        <v>0</v>
      </c>
      <c r="Z131" s="9">
        <v>0.014989681311515476</v>
      </c>
      <c r="AA131" s="3" t="str">
        <f t="shared" si="5"/>
        <v>OK</v>
      </c>
    </row>
    <row r="132" ht="15.75" customHeight="1">
      <c r="A132" s="3">
        <v>131.0</v>
      </c>
      <c r="B132" s="3" t="s">
        <v>15</v>
      </c>
      <c r="C132" s="7">
        <v>40.705783</v>
      </c>
      <c r="D132" s="7">
        <v>-73.993996</v>
      </c>
      <c r="E132" s="3">
        <v>0.0</v>
      </c>
      <c r="F132" s="3" t="s">
        <v>55</v>
      </c>
      <c r="G132" s="5">
        <f>(C132-'Pesos GPS'!$L$4)/'Pesos GPS'!$L$5</f>
        <v>0.9975408274</v>
      </c>
      <c r="H132" s="5">
        <f>(D132-'Pesos GPS'!$L$6)/'Pesos GPS'!$L$7</f>
        <v>-0.9998802021</v>
      </c>
      <c r="I132" s="5">
        <f>MAX(0,G132*'Pesos GPS'!B$6+H132*'Pesos GPS'!B$7+'Pesos GPS'!B$8)</f>
        <v>2.667127452</v>
      </c>
      <c r="J132" s="5">
        <f>MAX(0,G132*'Pesos GPS'!C$6+H132*'Pesos GPS'!C$7+'Pesos GPS'!C$8)</f>
        <v>0.3499622781</v>
      </c>
      <c r="K132" s="5">
        <f>MAX(0,G132*'Pesos GPS'!D$6+H132*'Pesos GPS'!D$7+'Pesos GPS'!D$8)</f>
        <v>0.473703541</v>
      </c>
      <c r="L132" s="5">
        <f>MAX(0,G132*'Pesos GPS'!E$6+H132*'Pesos GPS'!E$7+'Pesos GPS'!E$8)</f>
        <v>1.785882205</v>
      </c>
      <c r="M132" s="5">
        <f>MAX(0,I132*'Pesos GPS'!B$13+J132*'Pesos GPS'!B$14+K132*'Pesos GPS'!B$15+L132*'Pesos GPS'!B$16+'Pesos GPS'!B$17)</f>
        <v>0</v>
      </c>
      <c r="N132" s="5">
        <f>MAX(0,I132*'Pesos GPS'!C$13+J132*'Pesos GPS'!C$14+K132*'Pesos GPS'!C$15+L132*'Pesos GPS'!C$16+'Pesos GPS'!C$17)</f>
        <v>0</v>
      </c>
      <c r="O132" s="5">
        <f>MAX(0,I132*'Pesos GPS'!D$13+J132*'Pesos GPS'!D$14+K132*'Pesos GPS'!D$15+L132*'Pesos GPS'!D$16+'Pesos GPS'!D$17)</f>
        <v>4.332519786</v>
      </c>
      <c r="P132" s="5">
        <f>MAX(0,I132*'Pesos GPS'!E$13+J132*'Pesos GPS'!E$14+K132*'Pesos GPS'!E$15+L132*'Pesos GPS'!E$16+'Pesos GPS'!E$17)</f>
        <v>3.445335598</v>
      </c>
      <c r="Q132" s="5">
        <f>MAX(0,I132*'Pesos GPS'!F$13+J132*'Pesos GPS'!F$14+K132*'Pesos GPS'!F$15+L132*'Pesos GPS'!F$16+'Pesos GPS'!F$17)</f>
        <v>0</v>
      </c>
      <c r="R132" s="5">
        <f>MAX(0,I132*'Pesos GPS'!G$13+J132*'Pesos GPS'!G$14+K132*'Pesos GPS'!G$15+L132*'Pesos GPS'!G$16+'Pesos GPS'!G$17)</f>
        <v>1.079276789</v>
      </c>
      <c r="S132" s="5">
        <f>MAX(0,I132*'Pesos GPS'!H$13+J132*'Pesos GPS'!H$14+K132*'Pesos GPS'!H$15+L132*'Pesos GPS'!H$16+'Pesos GPS'!H$17)</f>
        <v>0.0007818203522</v>
      </c>
      <c r="T132" s="5">
        <f>MAX(0,I132*'Pesos GPS'!I$13+J132*'Pesos GPS'!I$14+K132*'Pesos GPS'!I$15+L132*'Pesos GPS'!I$16+'Pesos GPS'!I$17)</f>
        <v>0</v>
      </c>
      <c r="U132" s="5">
        <f>M132*'Pesos GPS'!$B$22+N132*'Pesos GPS'!$B$23+O132*'Pesos GPS'!$B$24+P132*'Pesos GPS'!$B$25+Q132*'Pesos GPS'!$B$26+R132*'Pesos GPS'!$B$27+S132*'Pesos GPS'!$B$28+T132*'Pesos GPS'!$B$29+'Pesos GPS'!$B$30</f>
        <v>-4.192398302</v>
      </c>
      <c r="V132" s="5">
        <f t="shared" si="1"/>
        <v>0.01488508929</v>
      </c>
      <c r="W132" s="3">
        <f t="shared" si="2"/>
        <v>0</v>
      </c>
      <c r="X132" s="3">
        <f t="shared" si="3"/>
        <v>1</v>
      </c>
      <c r="Y132" s="9">
        <f t="shared" si="4"/>
        <v>0</v>
      </c>
      <c r="Z132" s="9">
        <v>0.014885089292030702</v>
      </c>
      <c r="AA132" s="3" t="str">
        <f t="shared" si="5"/>
        <v>OK</v>
      </c>
    </row>
    <row r="133" ht="15.75" customHeight="1">
      <c r="A133" s="3">
        <v>132.0</v>
      </c>
      <c r="B133" s="3" t="s">
        <v>15</v>
      </c>
      <c r="C133" s="7">
        <v>40.68802</v>
      </c>
      <c r="D133" s="7">
        <v>-74.049615</v>
      </c>
      <c r="E133" s="3">
        <v>0.0</v>
      </c>
      <c r="F133" s="3" t="s">
        <v>55</v>
      </c>
      <c r="G133" s="5">
        <f>(C133-'Pesos GPS'!$L$4)/'Pesos GPS'!$L$5</f>
        <v>0.9904853085</v>
      </c>
      <c r="H133" s="5">
        <f>(D133-'Pesos GPS'!$L$6)/'Pesos GPS'!$L$7</f>
        <v>-1.000400844</v>
      </c>
      <c r="I133" s="5">
        <f>MAX(0,G133*'Pesos GPS'!B$6+H133*'Pesos GPS'!B$7+'Pesos GPS'!B$8)</f>
        <v>2.665094368</v>
      </c>
      <c r="J133" s="5">
        <f>MAX(0,G133*'Pesos GPS'!C$6+H133*'Pesos GPS'!C$7+'Pesos GPS'!C$8)</f>
        <v>0.3577917702</v>
      </c>
      <c r="K133" s="5">
        <f>MAX(0,G133*'Pesos GPS'!D$6+H133*'Pesos GPS'!D$7+'Pesos GPS'!D$8)</f>
        <v>0.4686627862</v>
      </c>
      <c r="L133" s="5">
        <f>MAX(0,G133*'Pesos GPS'!E$6+H133*'Pesos GPS'!E$7+'Pesos GPS'!E$8)</f>
        <v>1.778252174</v>
      </c>
      <c r="M133" s="5">
        <f>MAX(0,I133*'Pesos GPS'!B$13+J133*'Pesos GPS'!B$14+K133*'Pesos GPS'!B$15+L133*'Pesos GPS'!B$16+'Pesos GPS'!B$17)</f>
        <v>0</v>
      </c>
      <c r="N133" s="5">
        <f>MAX(0,I133*'Pesos GPS'!C$13+J133*'Pesos GPS'!C$14+K133*'Pesos GPS'!C$15+L133*'Pesos GPS'!C$16+'Pesos GPS'!C$17)</f>
        <v>0</v>
      </c>
      <c r="O133" s="5">
        <f>MAX(0,I133*'Pesos GPS'!D$13+J133*'Pesos GPS'!D$14+K133*'Pesos GPS'!D$15+L133*'Pesos GPS'!D$16+'Pesos GPS'!D$17)</f>
        <v>4.32825092</v>
      </c>
      <c r="P133" s="5">
        <f>MAX(0,I133*'Pesos GPS'!E$13+J133*'Pesos GPS'!E$14+K133*'Pesos GPS'!E$15+L133*'Pesos GPS'!E$16+'Pesos GPS'!E$17)</f>
        <v>3.435766853</v>
      </c>
      <c r="Q133" s="5">
        <f>MAX(0,I133*'Pesos GPS'!F$13+J133*'Pesos GPS'!F$14+K133*'Pesos GPS'!F$15+L133*'Pesos GPS'!F$16+'Pesos GPS'!F$17)</f>
        <v>0</v>
      </c>
      <c r="R133" s="5">
        <f>MAX(0,I133*'Pesos GPS'!G$13+J133*'Pesos GPS'!G$14+K133*'Pesos GPS'!G$15+L133*'Pesos GPS'!G$16+'Pesos GPS'!G$17)</f>
        <v>1.076815981</v>
      </c>
      <c r="S133" s="5">
        <f>MAX(0,I133*'Pesos GPS'!H$13+J133*'Pesos GPS'!H$14+K133*'Pesos GPS'!H$15+L133*'Pesos GPS'!H$16+'Pesos GPS'!H$17)</f>
        <v>0.005061419199</v>
      </c>
      <c r="T133" s="5">
        <f>MAX(0,I133*'Pesos GPS'!I$13+J133*'Pesos GPS'!I$14+K133*'Pesos GPS'!I$15+L133*'Pesos GPS'!I$16+'Pesos GPS'!I$17)</f>
        <v>0</v>
      </c>
      <c r="U133" s="5">
        <f>M133*'Pesos GPS'!$B$22+N133*'Pesos GPS'!$B$23+O133*'Pesos GPS'!$B$24+P133*'Pesos GPS'!$B$25+Q133*'Pesos GPS'!$B$26+R133*'Pesos GPS'!$B$27+S133*'Pesos GPS'!$B$28+T133*'Pesos GPS'!$B$29+'Pesos GPS'!$B$30</f>
        <v>-4.181124317</v>
      </c>
      <c r="V133" s="5">
        <f t="shared" si="1"/>
        <v>0.01505131297</v>
      </c>
      <c r="W133" s="3">
        <f t="shared" si="2"/>
        <v>0</v>
      </c>
      <c r="X133" s="3">
        <f t="shared" si="3"/>
        <v>1</v>
      </c>
      <c r="Y133" s="9">
        <f t="shared" si="4"/>
        <v>0</v>
      </c>
      <c r="Z133" s="9">
        <v>0.015051312973171697</v>
      </c>
      <c r="AA133" s="3" t="str">
        <f t="shared" si="5"/>
        <v>OK</v>
      </c>
    </row>
    <row r="134" ht="15.75" customHeight="1">
      <c r="A134" s="3">
        <v>133.0</v>
      </c>
      <c r="B134" s="3" t="s">
        <v>15</v>
      </c>
      <c r="C134" s="7">
        <v>40.724233</v>
      </c>
      <c r="D134" s="7">
        <v>-73.982814</v>
      </c>
      <c r="E134" s="3">
        <v>0.0</v>
      </c>
      <c r="F134" s="3" t="s">
        <v>55</v>
      </c>
      <c r="G134" s="5">
        <f>(C134-'Pesos GPS'!$L$4)/'Pesos GPS'!$L$5</f>
        <v>1.004869225</v>
      </c>
      <c r="H134" s="5">
        <f>(D134-'Pesos GPS'!$L$6)/'Pesos GPS'!$L$7</f>
        <v>-0.9997755289</v>
      </c>
      <c r="I134" s="5">
        <f>MAX(0,G134*'Pesos GPS'!B$6+H134*'Pesos GPS'!B$7+'Pesos GPS'!B$8)</f>
        <v>2.670150022</v>
      </c>
      <c r="J134" s="5">
        <f>MAX(0,G134*'Pesos GPS'!C$6+H134*'Pesos GPS'!C$7+'Pesos GPS'!C$8)</f>
        <v>0.342410281</v>
      </c>
      <c r="K134" s="5">
        <f>MAX(0,G134*'Pesos GPS'!D$6+H134*'Pesos GPS'!D$7+'Pesos GPS'!D$8)</f>
        <v>0.4788621001</v>
      </c>
      <c r="L134" s="5">
        <f>MAX(0,G134*'Pesos GPS'!E$6+H134*'Pesos GPS'!E$7+'Pesos GPS'!E$8)</f>
        <v>1.794022571</v>
      </c>
      <c r="M134" s="5">
        <f>MAX(0,I134*'Pesos GPS'!B$13+J134*'Pesos GPS'!B$14+K134*'Pesos GPS'!B$15+L134*'Pesos GPS'!B$16+'Pesos GPS'!B$17)</f>
        <v>0</v>
      </c>
      <c r="N134" s="5">
        <f>MAX(0,I134*'Pesos GPS'!C$13+J134*'Pesos GPS'!C$14+K134*'Pesos GPS'!C$15+L134*'Pesos GPS'!C$16+'Pesos GPS'!C$17)</f>
        <v>0</v>
      </c>
      <c r="O134" s="5">
        <f>MAX(0,I134*'Pesos GPS'!D$13+J134*'Pesos GPS'!D$14+K134*'Pesos GPS'!D$15+L134*'Pesos GPS'!D$16+'Pesos GPS'!D$17)</f>
        <v>4.33836527</v>
      </c>
      <c r="P134" s="5">
        <f>MAX(0,I134*'Pesos GPS'!E$13+J134*'Pesos GPS'!E$14+K134*'Pesos GPS'!E$15+L134*'Pesos GPS'!E$16+'Pesos GPS'!E$17)</f>
        <v>3.456030594</v>
      </c>
      <c r="Q134" s="5">
        <f>MAX(0,I134*'Pesos GPS'!F$13+J134*'Pesos GPS'!F$14+K134*'Pesos GPS'!F$15+L134*'Pesos GPS'!F$16+'Pesos GPS'!F$17)</f>
        <v>0</v>
      </c>
      <c r="R134" s="5">
        <f>MAX(0,I134*'Pesos GPS'!G$13+J134*'Pesos GPS'!G$14+K134*'Pesos GPS'!G$15+L134*'Pesos GPS'!G$16+'Pesos GPS'!G$17)</f>
        <v>1.082138749</v>
      </c>
      <c r="S134" s="5">
        <f>MAX(0,I134*'Pesos GPS'!H$13+J134*'Pesos GPS'!H$14+K134*'Pesos GPS'!H$15+L134*'Pesos GPS'!H$16+'Pesos GPS'!H$17)</f>
        <v>0</v>
      </c>
      <c r="T134" s="5">
        <f>MAX(0,I134*'Pesos GPS'!I$13+J134*'Pesos GPS'!I$14+K134*'Pesos GPS'!I$15+L134*'Pesos GPS'!I$16+'Pesos GPS'!I$17)</f>
        <v>0</v>
      </c>
      <c r="U134" s="5">
        <f>M134*'Pesos GPS'!$B$22+N134*'Pesos GPS'!$B$23+O134*'Pesos GPS'!$B$24+P134*'Pesos GPS'!$B$25+Q134*'Pesos GPS'!$B$26+R134*'Pesos GPS'!$B$27+S134*'Pesos GPS'!$B$28+T134*'Pesos GPS'!$B$29+'Pesos GPS'!$B$30</f>
        <v>-4.204913762</v>
      </c>
      <c r="V134" s="5">
        <f t="shared" si="1"/>
        <v>0.01470267843</v>
      </c>
      <c r="W134" s="3">
        <f t="shared" si="2"/>
        <v>0</v>
      </c>
      <c r="X134" s="3">
        <f t="shared" si="3"/>
        <v>1</v>
      </c>
      <c r="Y134" s="9">
        <f t="shared" si="4"/>
        <v>0</v>
      </c>
      <c r="Z134" s="9">
        <v>0.014702678429349076</v>
      </c>
      <c r="AA134" s="3" t="str">
        <f t="shared" si="5"/>
        <v>OK</v>
      </c>
    </row>
    <row r="135" ht="15.75" customHeight="1">
      <c r="A135" s="3">
        <v>134.0</v>
      </c>
      <c r="B135" s="3" t="s">
        <v>15</v>
      </c>
      <c r="C135" s="7">
        <v>40.7088</v>
      </c>
      <c r="D135" s="7">
        <v>-73.994639</v>
      </c>
      <c r="E135" s="3">
        <v>0.0</v>
      </c>
      <c r="F135" s="3" t="s">
        <v>55</v>
      </c>
      <c r="G135" s="5">
        <f>(C135-'Pesos GPS'!$L$4)/'Pesos GPS'!$L$5</f>
        <v>0.9987391892</v>
      </c>
      <c r="H135" s="5">
        <f>(D135-'Pesos GPS'!$L$6)/'Pesos GPS'!$L$7</f>
        <v>-0.9998862211</v>
      </c>
      <c r="I135" s="5">
        <f>MAX(0,G135*'Pesos GPS'!B$6+H135*'Pesos GPS'!B$7+'Pesos GPS'!B$8)</f>
        <v>2.667670033</v>
      </c>
      <c r="J135" s="5">
        <f>MAX(0,G135*'Pesos GPS'!C$6+H135*'Pesos GPS'!C$7+'Pesos GPS'!C$8)</f>
        <v>0.3487581381</v>
      </c>
      <c r="K135" s="5">
        <f>MAX(0,G135*'Pesos GPS'!D$6+H135*'Pesos GPS'!D$7+'Pesos GPS'!D$8)</f>
        <v>0.4745429913</v>
      </c>
      <c r="L135" s="5">
        <f>MAX(0,G135*'Pesos GPS'!E$6+H135*'Pesos GPS'!E$7+'Pesos GPS'!E$8)</f>
        <v>1.787224761</v>
      </c>
      <c r="M135" s="5">
        <f>MAX(0,I135*'Pesos GPS'!B$13+J135*'Pesos GPS'!B$14+K135*'Pesos GPS'!B$15+L135*'Pesos GPS'!B$16+'Pesos GPS'!B$17)</f>
        <v>0</v>
      </c>
      <c r="N135" s="5">
        <f>MAX(0,I135*'Pesos GPS'!C$13+J135*'Pesos GPS'!C$14+K135*'Pesos GPS'!C$15+L135*'Pesos GPS'!C$16+'Pesos GPS'!C$17)</f>
        <v>0</v>
      </c>
      <c r="O135" s="5">
        <f>MAX(0,I135*'Pesos GPS'!D$13+J135*'Pesos GPS'!D$14+K135*'Pesos GPS'!D$15+L135*'Pesos GPS'!D$16+'Pesos GPS'!D$17)</f>
        <v>4.333550538</v>
      </c>
      <c r="P135" s="5">
        <f>MAX(0,I135*'Pesos GPS'!E$13+J135*'Pesos GPS'!E$14+K135*'Pesos GPS'!E$15+L135*'Pesos GPS'!E$16+'Pesos GPS'!E$17)</f>
        <v>3.447124592</v>
      </c>
      <c r="Q135" s="5">
        <f>MAX(0,I135*'Pesos GPS'!F$13+J135*'Pesos GPS'!F$14+K135*'Pesos GPS'!F$15+L135*'Pesos GPS'!F$16+'Pesos GPS'!F$17)</f>
        <v>0</v>
      </c>
      <c r="R135" s="5">
        <f>MAX(0,I135*'Pesos GPS'!G$13+J135*'Pesos GPS'!G$14+K135*'Pesos GPS'!G$15+L135*'Pesos GPS'!G$16+'Pesos GPS'!G$17)</f>
        <v>1.079761017</v>
      </c>
      <c r="S135" s="5">
        <f>MAX(0,I135*'Pesos GPS'!H$13+J135*'Pesos GPS'!H$14+K135*'Pesos GPS'!H$15+L135*'Pesos GPS'!H$16+'Pesos GPS'!H$17)</f>
        <v>0.0001292954521</v>
      </c>
      <c r="T135" s="5">
        <f>MAX(0,I135*'Pesos GPS'!I$13+J135*'Pesos GPS'!I$14+K135*'Pesos GPS'!I$15+L135*'Pesos GPS'!I$16+'Pesos GPS'!I$17)</f>
        <v>0</v>
      </c>
      <c r="U135" s="5">
        <f>M135*'Pesos GPS'!$B$22+N135*'Pesos GPS'!$B$23+O135*'Pesos GPS'!$B$24+P135*'Pesos GPS'!$B$25+Q135*'Pesos GPS'!$B$26+R135*'Pesos GPS'!$B$27+S135*'Pesos GPS'!$B$28+T135*'Pesos GPS'!$B$29+'Pesos GPS'!$B$30</f>
        <v>-4.1947102</v>
      </c>
      <c r="V135" s="5">
        <f t="shared" si="1"/>
        <v>0.01485122671</v>
      </c>
      <c r="W135" s="3">
        <f t="shared" si="2"/>
        <v>0</v>
      </c>
      <c r="X135" s="3">
        <f t="shared" si="3"/>
        <v>1</v>
      </c>
      <c r="Y135" s="9">
        <f t="shared" si="4"/>
        <v>0</v>
      </c>
      <c r="Z135" s="9">
        <v>0.014851226705874947</v>
      </c>
      <c r="AA135" s="3" t="str">
        <f t="shared" si="5"/>
        <v>OK</v>
      </c>
    </row>
    <row r="136" ht="15.75" customHeight="1">
      <c r="A136" s="3">
        <v>135.0</v>
      </c>
      <c r="B136" s="3" t="s">
        <v>15</v>
      </c>
      <c r="C136" s="7">
        <v>40.686325</v>
      </c>
      <c r="D136" s="7">
        <v>-74.033761</v>
      </c>
      <c r="E136" s="3">
        <v>0.0</v>
      </c>
      <c r="F136" s="3" t="s">
        <v>55</v>
      </c>
      <c r="G136" s="5">
        <f>(C136-'Pesos GPS'!$L$4)/'Pesos GPS'!$L$5</f>
        <v>0.9898120492</v>
      </c>
      <c r="H136" s="5">
        <f>(D136-'Pesos GPS'!$L$6)/'Pesos GPS'!$L$7</f>
        <v>-1.000252437</v>
      </c>
      <c r="I136" s="5">
        <f>MAX(0,G136*'Pesos GPS'!B$6+H136*'Pesos GPS'!B$7+'Pesos GPS'!B$8)</f>
        <v>2.664486635</v>
      </c>
      <c r="J136" s="5">
        <f>MAX(0,G136*'Pesos GPS'!C$6+H136*'Pesos GPS'!C$7+'Pesos GPS'!C$8)</f>
        <v>0.358275296</v>
      </c>
      <c r="K136" s="5">
        <f>MAX(0,G136*'Pesos GPS'!D$6+H136*'Pesos GPS'!D$7+'Pesos GPS'!D$8)</f>
        <v>0.4682168257</v>
      </c>
      <c r="L136" s="5">
        <f>MAX(0,G136*'Pesos GPS'!E$6+H136*'Pesos GPS'!E$7+'Pesos GPS'!E$8)</f>
        <v>1.777426328</v>
      </c>
      <c r="M136" s="5">
        <f>MAX(0,I136*'Pesos GPS'!B$13+J136*'Pesos GPS'!B$14+K136*'Pesos GPS'!B$15+L136*'Pesos GPS'!B$16+'Pesos GPS'!B$17)</f>
        <v>0</v>
      </c>
      <c r="N136" s="5">
        <f>MAX(0,I136*'Pesos GPS'!C$13+J136*'Pesos GPS'!C$14+K136*'Pesos GPS'!C$15+L136*'Pesos GPS'!C$16+'Pesos GPS'!C$17)</f>
        <v>0</v>
      </c>
      <c r="O136" s="5">
        <f>MAX(0,I136*'Pesos GPS'!D$13+J136*'Pesos GPS'!D$14+K136*'Pesos GPS'!D$15+L136*'Pesos GPS'!D$16+'Pesos GPS'!D$17)</f>
        <v>4.32720243</v>
      </c>
      <c r="P136" s="5">
        <f>MAX(0,I136*'Pesos GPS'!E$13+J136*'Pesos GPS'!E$14+K136*'Pesos GPS'!E$15+L136*'Pesos GPS'!E$16+'Pesos GPS'!E$17)</f>
        <v>3.434510305</v>
      </c>
      <c r="Q136" s="5">
        <f>MAX(0,I136*'Pesos GPS'!F$13+J136*'Pesos GPS'!F$14+K136*'Pesos GPS'!F$15+L136*'Pesos GPS'!F$16+'Pesos GPS'!F$17)</f>
        <v>0</v>
      </c>
      <c r="R136" s="5">
        <f>MAX(0,I136*'Pesos GPS'!G$13+J136*'Pesos GPS'!G$14+K136*'Pesos GPS'!G$15+L136*'Pesos GPS'!G$16+'Pesos GPS'!G$17)</f>
        <v>1.076442181</v>
      </c>
      <c r="S136" s="5">
        <f>MAX(0,I136*'Pesos GPS'!H$13+J136*'Pesos GPS'!H$14+K136*'Pesos GPS'!H$15+L136*'Pesos GPS'!H$16+'Pesos GPS'!H$17)</f>
        <v>0.005313848194</v>
      </c>
      <c r="T136" s="5">
        <f>MAX(0,I136*'Pesos GPS'!I$13+J136*'Pesos GPS'!I$14+K136*'Pesos GPS'!I$15+L136*'Pesos GPS'!I$16+'Pesos GPS'!I$17)</f>
        <v>0</v>
      </c>
      <c r="U136" s="5">
        <f>M136*'Pesos GPS'!$B$22+N136*'Pesos GPS'!$B$23+O136*'Pesos GPS'!$B$24+P136*'Pesos GPS'!$B$25+Q136*'Pesos GPS'!$B$26+R136*'Pesos GPS'!$B$27+S136*'Pesos GPS'!$B$28+T136*'Pesos GPS'!$B$29+'Pesos GPS'!$B$30</f>
        <v>-4.1792158</v>
      </c>
      <c r="V136" s="5">
        <f t="shared" si="1"/>
        <v>0.01507963251</v>
      </c>
      <c r="W136" s="3">
        <f t="shared" si="2"/>
        <v>0</v>
      </c>
      <c r="X136" s="3">
        <f t="shared" si="3"/>
        <v>1</v>
      </c>
      <c r="Y136" s="9">
        <f t="shared" si="4"/>
        <v>0</v>
      </c>
      <c r="Z136" s="9">
        <v>0.01507963250787993</v>
      </c>
      <c r="AA136" s="3" t="str">
        <f t="shared" si="5"/>
        <v>OK</v>
      </c>
    </row>
    <row r="137" ht="15.75" customHeight="1">
      <c r="A137" s="3">
        <v>136.0</v>
      </c>
      <c r="B137" s="3" t="s">
        <v>15</v>
      </c>
      <c r="C137" s="7">
        <v>40.69452</v>
      </c>
      <c r="D137" s="7">
        <v>-74.017788</v>
      </c>
      <c r="E137" s="3">
        <v>0.0</v>
      </c>
      <c r="F137" s="3" t="s">
        <v>55</v>
      </c>
      <c r="G137" s="5">
        <f>(C137-'Pesos GPS'!$L$4)/'Pesos GPS'!$L$5</f>
        <v>0.9930671288</v>
      </c>
      <c r="H137" s="5">
        <f>(D137-'Pesos GPS'!$L$6)/'Pesos GPS'!$L$7</f>
        <v>-1.000102916</v>
      </c>
      <c r="I137" s="5">
        <f>MAX(0,G137*'Pesos GPS'!B$6+H137*'Pesos GPS'!B$7+'Pesos GPS'!B$8)</f>
        <v>2.665613995</v>
      </c>
      <c r="J137" s="5">
        <f>MAX(0,G137*'Pesos GPS'!C$6+H137*'Pesos GPS'!C$7+'Pesos GPS'!C$8)</f>
        <v>0.3547838042</v>
      </c>
      <c r="K137" s="5">
        <f>MAX(0,G137*'Pesos GPS'!D$6+H137*'Pesos GPS'!D$7+'Pesos GPS'!D$8)</f>
        <v>0.4705263474</v>
      </c>
      <c r="L137" s="5">
        <f>MAX(0,G137*'Pesos GPS'!E$6+H137*'Pesos GPS'!E$7+'Pesos GPS'!E$8)</f>
        <v>1.780991214</v>
      </c>
      <c r="M137" s="5">
        <f>MAX(0,I137*'Pesos GPS'!B$13+J137*'Pesos GPS'!B$14+K137*'Pesos GPS'!B$15+L137*'Pesos GPS'!B$16+'Pesos GPS'!B$17)</f>
        <v>0</v>
      </c>
      <c r="N137" s="5">
        <f>MAX(0,I137*'Pesos GPS'!C$13+J137*'Pesos GPS'!C$14+K137*'Pesos GPS'!C$15+L137*'Pesos GPS'!C$16+'Pesos GPS'!C$17)</f>
        <v>0</v>
      </c>
      <c r="O137" s="5">
        <f>MAX(0,I137*'Pesos GPS'!D$13+J137*'Pesos GPS'!D$14+K137*'Pesos GPS'!D$15+L137*'Pesos GPS'!D$16+'Pesos GPS'!D$17)</f>
        <v>4.329465374</v>
      </c>
      <c r="P137" s="5">
        <f>MAX(0,I137*'Pesos GPS'!E$13+J137*'Pesos GPS'!E$14+K137*'Pesos GPS'!E$15+L137*'Pesos GPS'!E$16+'Pesos GPS'!E$17)</f>
        <v>3.439082096</v>
      </c>
      <c r="Q137" s="5">
        <f>MAX(0,I137*'Pesos GPS'!F$13+J137*'Pesos GPS'!F$14+K137*'Pesos GPS'!F$15+L137*'Pesos GPS'!F$16+'Pesos GPS'!F$17)</f>
        <v>0</v>
      </c>
      <c r="R137" s="5">
        <f>MAX(0,I137*'Pesos GPS'!G$13+J137*'Pesos GPS'!G$14+K137*'Pesos GPS'!G$15+L137*'Pesos GPS'!G$16+'Pesos GPS'!G$17)</f>
        <v>1.077641101</v>
      </c>
      <c r="S137" s="5">
        <f>MAX(0,I137*'Pesos GPS'!H$13+J137*'Pesos GPS'!H$14+K137*'Pesos GPS'!H$15+L137*'Pesos GPS'!H$16+'Pesos GPS'!H$17)</f>
        <v>0.003410831337</v>
      </c>
      <c r="T137" s="5">
        <f>MAX(0,I137*'Pesos GPS'!I$13+J137*'Pesos GPS'!I$14+K137*'Pesos GPS'!I$15+L137*'Pesos GPS'!I$16+'Pesos GPS'!I$17)</f>
        <v>0</v>
      </c>
      <c r="U137" s="5">
        <f>M137*'Pesos GPS'!$B$22+N137*'Pesos GPS'!$B$23+O137*'Pesos GPS'!$B$24+P137*'Pesos GPS'!$B$25+Q137*'Pesos GPS'!$B$26+R137*'Pesos GPS'!$B$27+S137*'Pesos GPS'!$B$28+T137*'Pesos GPS'!$B$29+'Pesos GPS'!$B$30</f>
        <v>-4.184798269</v>
      </c>
      <c r="V137" s="5">
        <f t="shared" si="1"/>
        <v>0.01499694441</v>
      </c>
      <c r="W137" s="3">
        <f t="shared" si="2"/>
        <v>0</v>
      </c>
      <c r="X137" s="3">
        <f t="shared" si="3"/>
        <v>1</v>
      </c>
      <c r="Y137" s="9">
        <f t="shared" si="4"/>
        <v>0</v>
      </c>
      <c r="Z137" s="9">
        <v>0.014996944409770773</v>
      </c>
      <c r="AA137" s="3" t="str">
        <f t="shared" si="5"/>
        <v>OK</v>
      </c>
    </row>
    <row r="138" ht="15.75" customHeight="1">
      <c r="A138" s="3">
        <v>137.0</v>
      </c>
      <c r="B138" s="3" t="s">
        <v>15</v>
      </c>
      <c r="C138" s="7">
        <v>40.718443</v>
      </c>
      <c r="D138" s="7">
        <v>-73.999407</v>
      </c>
      <c r="E138" s="3">
        <v>0.0</v>
      </c>
      <c r="F138" s="3" t="s">
        <v>55</v>
      </c>
      <c r="G138" s="5">
        <f>(C138-'Pesos GPS'!$L$4)/'Pesos GPS'!$L$5</f>
        <v>1.002569419</v>
      </c>
      <c r="H138" s="5">
        <f>(D138-'Pesos GPS'!$L$6)/'Pesos GPS'!$L$7</f>
        <v>-0.9999308537</v>
      </c>
      <c r="I138" s="5">
        <f>MAX(0,G138*'Pesos GPS'!B$6+H138*'Pesos GPS'!B$7+'Pesos GPS'!B$8)</f>
        <v>2.669457281</v>
      </c>
      <c r="J138" s="5">
        <f>MAX(0,G138*'Pesos GPS'!C$6+H138*'Pesos GPS'!C$7+'Pesos GPS'!C$8)</f>
        <v>0.3449432314</v>
      </c>
      <c r="K138" s="5">
        <f>MAX(0,G138*'Pesos GPS'!D$6+H138*'Pesos GPS'!D$7+'Pesos GPS'!D$8)</f>
        <v>0.477221568</v>
      </c>
      <c r="L138" s="5">
        <f>MAX(0,G138*'Pesos GPS'!E$6+H138*'Pesos GPS'!E$7+'Pesos GPS'!E$8)</f>
        <v>1.791528399</v>
      </c>
      <c r="M138" s="5">
        <f>MAX(0,I138*'Pesos GPS'!B$13+J138*'Pesos GPS'!B$14+K138*'Pesos GPS'!B$15+L138*'Pesos GPS'!B$16+'Pesos GPS'!B$17)</f>
        <v>0</v>
      </c>
      <c r="N138" s="5">
        <f>MAX(0,I138*'Pesos GPS'!C$13+J138*'Pesos GPS'!C$14+K138*'Pesos GPS'!C$15+L138*'Pesos GPS'!C$16+'Pesos GPS'!C$17)</f>
        <v>0</v>
      </c>
      <c r="O138" s="5">
        <f>MAX(0,I138*'Pesos GPS'!D$13+J138*'Pesos GPS'!D$14+K138*'Pesos GPS'!D$15+L138*'Pesos GPS'!D$16+'Pesos GPS'!D$17)</f>
        <v>4.336927245</v>
      </c>
      <c r="P138" s="5">
        <f>MAX(0,I138*'Pesos GPS'!E$13+J138*'Pesos GPS'!E$14+K138*'Pesos GPS'!E$15+L138*'Pesos GPS'!E$16+'Pesos GPS'!E$17)</f>
        <v>3.452886642</v>
      </c>
      <c r="Q138" s="5">
        <f>MAX(0,I138*'Pesos GPS'!F$13+J138*'Pesos GPS'!F$14+K138*'Pesos GPS'!F$15+L138*'Pesos GPS'!F$16+'Pesos GPS'!F$17)</f>
        <v>0</v>
      </c>
      <c r="R138" s="5">
        <f>MAX(0,I138*'Pesos GPS'!G$13+J138*'Pesos GPS'!G$14+K138*'Pesos GPS'!G$15+L138*'Pesos GPS'!G$16+'Pesos GPS'!G$17)</f>
        <v>1.081326537</v>
      </c>
      <c r="S138" s="5">
        <f>MAX(0,I138*'Pesos GPS'!H$13+J138*'Pesos GPS'!H$14+K138*'Pesos GPS'!H$15+L138*'Pesos GPS'!H$16+'Pesos GPS'!H$17)</f>
        <v>0</v>
      </c>
      <c r="T138" s="5">
        <f>MAX(0,I138*'Pesos GPS'!I$13+J138*'Pesos GPS'!I$14+K138*'Pesos GPS'!I$15+L138*'Pesos GPS'!I$16+'Pesos GPS'!I$17)</f>
        <v>0</v>
      </c>
      <c r="U138" s="5">
        <f>M138*'Pesos GPS'!$B$22+N138*'Pesos GPS'!$B$23+O138*'Pesos GPS'!$B$24+P138*'Pesos GPS'!$B$25+Q138*'Pesos GPS'!$B$26+R138*'Pesos GPS'!$B$27+S138*'Pesos GPS'!$B$28+T138*'Pesos GPS'!$B$29+'Pesos GPS'!$B$30</f>
        <v>-4.201606818</v>
      </c>
      <c r="V138" s="5">
        <f t="shared" si="1"/>
        <v>0.01475066146</v>
      </c>
      <c r="W138" s="3">
        <f t="shared" si="2"/>
        <v>0</v>
      </c>
      <c r="X138" s="3">
        <f t="shared" si="3"/>
        <v>1</v>
      </c>
      <c r="Y138" s="9">
        <f t="shared" si="4"/>
        <v>0</v>
      </c>
      <c r="Z138" s="9">
        <v>0.01475066146309684</v>
      </c>
      <c r="AA138" s="3" t="str">
        <f t="shared" si="5"/>
        <v>OK</v>
      </c>
    </row>
    <row r="139" ht="15.75" customHeight="1">
      <c r="A139" s="3">
        <v>138.0</v>
      </c>
      <c r="B139" s="3" t="s">
        <v>15</v>
      </c>
      <c r="C139" s="7">
        <v>40.727886</v>
      </c>
      <c r="D139" s="7">
        <v>-74.004688</v>
      </c>
      <c r="E139" s="3">
        <v>0.0</v>
      </c>
      <c r="F139" s="3" t="s">
        <v>55</v>
      </c>
      <c r="G139" s="5">
        <f>(C139-'Pesos GPS'!$L$4)/'Pesos GPS'!$L$5</f>
        <v>1.006320208</v>
      </c>
      <c r="H139" s="5">
        <f>(D139-'Pesos GPS'!$L$6)/'Pesos GPS'!$L$7</f>
        <v>-0.9999802885</v>
      </c>
      <c r="I139" s="5">
        <f>MAX(0,G139*'Pesos GPS'!B$6+H139*'Pesos GPS'!B$7+'Pesos GPS'!B$8)</f>
        <v>2.671219424</v>
      </c>
      <c r="J139" s="5">
        <f>MAX(0,G139*'Pesos GPS'!C$6+H139*'Pesos GPS'!C$7+'Pesos GPS'!C$8)</f>
        <v>0.3412150693</v>
      </c>
      <c r="K139" s="5">
        <f>MAX(0,G139*'Pesos GPS'!D$6+H139*'Pesos GPS'!D$7+'Pesos GPS'!D$8)</f>
        <v>0.4798435765</v>
      </c>
      <c r="L139" s="5">
        <f>MAX(0,G139*'Pesos GPS'!E$6+H139*'Pesos GPS'!E$7+'Pesos GPS'!E$8)</f>
        <v>1.795745605</v>
      </c>
      <c r="M139" s="5">
        <f>MAX(0,I139*'Pesos GPS'!B$13+J139*'Pesos GPS'!B$14+K139*'Pesos GPS'!B$15+L139*'Pesos GPS'!B$16+'Pesos GPS'!B$17)</f>
        <v>0</v>
      </c>
      <c r="N139" s="5">
        <f>MAX(0,I139*'Pesos GPS'!C$13+J139*'Pesos GPS'!C$14+K139*'Pesos GPS'!C$15+L139*'Pesos GPS'!C$16+'Pesos GPS'!C$17)</f>
        <v>0</v>
      </c>
      <c r="O139" s="5">
        <f>MAX(0,I139*'Pesos GPS'!D$13+J139*'Pesos GPS'!D$14+K139*'Pesos GPS'!D$15+L139*'Pesos GPS'!D$16+'Pesos GPS'!D$17)</f>
        <v>4.340252456</v>
      </c>
      <c r="P139" s="5">
        <f>MAX(0,I139*'Pesos GPS'!E$13+J139*'Pesos GPS'!E$14+K139*'Pesos GPS'!E$15+L139*'Pesos GPS'!E$16+'Pesos GPS'!E$17)</f>
        <v>3.458539117</v>
      </c>
      <c r="Q139" s="5">
        <f>MAX(0,I139*'Pesos GPS'!F$13+J139*'Pesos GPS'!F$14+K139*'Pesos GPS'!F$15+L139*'Pesos GPS'!F$16+'Pesos GPS'!F$17)</f>
        <v>0</v>
      </c>
      <c r="R139" s="5">
        <f>MAX(0,I139*'Pesos GPS'!G$13+J139*'Pesos GPS'!G$14+K139*'Pesos GPS'!G$15+L139*'Pesos GPS'!G$16+'Pesos GPS'!G$17)</f>
        <v>1.082863605</v>
      </c>
      <c r="S139" s="5">
        <f>MAX(0,I139*'Pesos GPS'!H$13+J139*'Pesos GPS'!H$14+K139*'Pesos GPS'!H$15+L139*'Pesos GPS'!H$16+'Pesos GPS'!H$17)</f>
        <v>0</v>
      </c>
      <c r="T139" s="5">
        <f>MAX(0,I139*'Pesos GPS'!I$13+J139*'Pesos GPS'!I$14+K139*'Pesos GPS'!I$15+L139*'Pesos GPS'!I$16+'Pesos GPS'!I$17)</f>
        <v>0</v>
      </c>
      <c r="U139" s="5">
        <f>M139*'Pesos GPS'!$B$22+N139*'Pesos GPS'!$B$23+O139*'Pesos GPS'!$B$24+P139*'Pesos GPS'!$B$25+Q139*'Pesos GPS'!$B$26+R139*'Pesos GPS'!$B$27+S139*'Pesos GPS'!$B$28+T139*'Pesos GPS'!$B$29+'Pesos GPS'!$B$30</f>
        <v>-4.208346672</v>
      </c>
      <c r="V139" s="5">
        <f t="shared" si="1"/>
        <v>0.0146530303</v>
      </c>
      <c r="W139" s="3">
        <f t="shared" si="2"/>
        <v>0</v>
      </c>
      <c r="X139" s="3">
        <f t="shared" si="3"/>
        <v>1</v>
      </c>
      <c r="Y139" s="9">
        <f t="shared" si="4"/>
        <v>0</v>
      </c>
      <c r="Z139" s="9">
        <v>0.014653030296332052</v>
      </c>
      <c r="AA139" s="3" t="str">
        <f t="shared" si="5"/>
        <v>OK</v>
      </c>
    </row>
    <row r="140" ht="15.75" customHeight="1">
      <c r="A140" s="3">
        <v>139.0</v>
      </c>
      <c r="B140" s="3" t="s">
        <v>15</v>
      </c>
      <c r="C140" s="7">
        <v>40.748741</v>
      </c>
      <c r="D140" s="7">
        <v>-74.013304</v>
      </c>
      <c r="E140" s="3">
        <v>0.0</v>
      </c>
      <c r="F140" s="3" t="s">
        <v>55</v>
      </c>
      <c r="G140" s="5">
        <f>(C140-'Pesos GPS'!$L$4)/'Pesos GPS'!$L$5</f>
        <v>1.014603879</v>
      </c>
      <c r="H140" s="5">
        <f>(D140-'Pesos GPS'!$L$6)/'Pesos GPS'!$L$7</f>
        <v>-1.000060942</v>
      </c>
      <c r="I140" s="5">
        <f>MAX(0,G140*'Pesos GPS'!B$6+H140*'Pesos GPS'!B$7+'Pesos GPS'!B$8)</f>
        <v>2.675051565</v>
      </c>
      <c r="J140" s="5">
        <f>MAX(0,G140*'Pesos GPS'!C$6+H140*'Pesos GPS'!C$7+'Pesos GPS'!C$8)</f>
        <v>0.3329434144</v>
      </c>
      <c r="K140" s="5">
        <f>MAX(0,G140*'Pesos GPS'!D$6+H140*'Pesos GPS'!D$7+'Pesos GPS'!D$8)</f>
        <v>0.4856393657</v>
      </c>
      <c r="L140" s="5">
        <f>MAX(0,G140*'Pesos GPS'!E$6+H140*'Pesos GPS'!E$7+'Pesos GPS'!E$8)</f>
        <v>1.805045287</v>
      </c>
      <c r="M140" s="5">
        <f>MAX(0,I140*'Pesos GPS'!B$13+J140*'Pesos GPS'!B$14+K140*'Pesos GPS'!B$15+L140*'Pesos GPS'!B$16+'Pesos GPS'!B$17)</f>
        <v>0</v>
      </c>
      <c r="N140" s="5">
        <f>MAX(0,I140*'Pesos GPS'!C$13+J140*'Pesos GPS'!C$14+K140*'Pesos GPS'!C$15+L140*'Pesos GPS'!C$16+'Pesos GPS'!C$17)</f>
        <v>0</v>
      </c>
      <c r="O140" s="5">
        <f>MAX(0,I140*'Pesos GPS'!D$13+J140*'Pesos GPS'!D$14+K140*'Pesos GPS'!D$15+L140*'Pesos GPS'!D$16+'Pesos GPS'!D$17)</f>
        <v>4.34750391</v>
      </c>
      <c r="P140" s="5">
        <f>MAX(0,I140*'Pesos GPS'!E$13+J140*'Pesos GPS'!E$14+K140*'Pesos GPS'!E$15+L140*'Pesos GPS'!E$16+'Pesos GPS'!E$17)</f>
        <v>3.47097323</v>
      </c>
      <c r="Q140" s="5">
        <f>MAX(0,I140*'Pesos GPS'!F$13+J140*'Pesos GPS'!F$14+K140*'Pesos GPS'!F$15+L140*'Pesos GPS'!F$16+'Pesos GPS'!F$17)</f>
        <v>0</v>
      </c>
      <c r="R140" s="5">
        <f>MAX(0,I140*'Pesos GPS'!G$13+J140*'Pesos GPS'!G$14+K140*'Pesos GPS'!G$15+L140*'Pesos GPS'!G$16+'Pesos GPS'!G$17)</f>
        <v>1.086238229</v>
      </c>
      <c r="S140" s="5">
        <f>MAX(0,I140*'Pesos GPS'!H$13+J140*'Pesos GPS'!H$14+K140*'Pesos GPS'!H$15+L140*'Pesos GPS'!H$16+'Pesos GPS'!H$17)</f>
        <v>0</v>
      </c>
      <c r="T140" s="5">
        <f>MAX(0,I140*'Pesos GPS'!I$13+J140*'Pesos GPS'!I$14+K140*'Pesos GPS'!I$15+L140*'Pesos GPS'!I$16+'Pesos GPS'!I$17)</f>
        <v>0</v>
      </c>
      <c r="U140" s="5">
        <f>M140*'Pesos GPS'!$B$22+N140*'Pesos GPS'!$B$23+O140*'Pesos GPS'!$B$24+P140*'Pesos GPS'!$B$25+Q140*'Pesos GPS'!$B$26+R140*'Pesos GPS'!$B$27+S140*'Pesos GPS'!$B$28+T140*'Pesos GPS'!$B$29+'Pesos GPS'!$B$30</f>
        <v>-4.223104876</v>
      </c>
      <c r="V140" s="5">
        <f t="shared" si="1"/>
        <v>0.01444146589</v>
      </c>
      <c r="W140" s="3">
        <f t="shared" si="2"/>
        <v>0</v>
      </c>
      <c r="X140" s="3">
        <f t="shared" si="3"/>
        <v>1</v>
      </c>
      <c r="Y140" s="9">
        <f t="shared" si="4"/>
        <v>0</v>
      </c>
      <c r="Z140" s="9">
        <v>0.014441465888351495</v>
      </c>
      <c r="AA140" s="3" t="str">
        <f t="shared" si="5"/>
        <v>OK</v>
      </c>
    </row>
    <row r="141" ht="15.75" customHeight="1">
      <c r="A141" s="3">
        <v>140.0</v>
      </c>
      <c r="B141" s="3" t="s">
        <v>15</v>
      </c>
      <c r="C141" s="7">
        <v>40.76525</v>
      </c>
      <c r="D141" s="7">
        <v>-74.008587</v>
      </c>
      <c r="E141" s="3">
        <v>0.0</v>
      </c>
      <c r="F141" s="3" t="s">
        <v>55</v>
      </c>
      <c r="G141" s="5">
        <f>(C141-'Pesos GPS'!$L$4)/'Pesos GPS'!$L$5</f>
        <v>1.021161305</v>
      </c>
      <c r="H141" s="5">
        <f>(D141-'Pesos GPS'!$L$6)/'Pesos GPS'!$L$7</f>
        <v>-1.000016787</v>
      </c>
      <c r="I141" s="5">
        <f>MAX(0,G141*'Pesos GPS'!B$6+H141*'Pesos GPS'!B$7+'Pesos GPS'!B$8)</f>
        <v>2.677859549</v>
      </c>
      <c r="J141" s="5">
        <f>MAX(0,G141*'Pesos GPS'!C$6+H141*'Pesos GPS'!C$7+'Pesos GPS'!C$8)</f>
        <v>0.3262517876</v>
      </c>
      <c r="K141" s="5">
        <f>MAX(0,G141*'Pesos GPS'!D$6+H141*'Pesos GPS'!D$7+'Pesos GPS'!D$8)</f>
        <v>0.4902464696</v>
      </c>
      <c r="L141" s="5">
        <f>MAX(0,G141*'Pesos GPS'!E$6+H141*'Pesos GPS'!E$7+'Pesos GPS'!E$8)</f>
        <v>1.812353693</v>
      </c>
      <c r="M141" s="5">
        <f>MAX(0,I141*'Pesos GPS'!B$13+J141*'Pesos GPS'!B$14+K141*'Pesos GPS'!B$15+L141*'Pesos GPS'!B$16+'Pesos GPS'!B$17)</f>
        <v>0</v>
      </c>
      <c r="N141" s="5">
        <f>MAX(0,I141*'Pesos GPS'!C$13+J141*'Pesos GPS'!C$14+K141*'Pesos GPS'!C$15+L141*'Pesos GPS'!C$16+'Pesos GPS'!C$17)</f>
        <v>0</v>
      </c>
      <c r="O141" s="5">
        <f>MAX(0,I141*'Pesos GPS'!D$13+J141*'Pesos GPS'!D$14+K141*'Pesos GPS'!D$15+L141*'Pesos GPS'!D$16+'Pesos GPS'!D$17)</f>
        <v>4.352894663</v>
      </c>
      <c r="P141" s="5">
        <f>MAX(0,I141*'Pesos GPS'!E$13+J141*'Pesos GPS'!E$14+K141*'Pesos GPS'!E$15+L141*'Pesos GPS'!E$16+'Pesos GPS'!E$17)</f>
        <v>3.480628917</v>
      </c>
      <c r="Q141" s="5">
        <f>MAX(0,I141*'Pesos GPS'!F$13+J141*'Pesos GPS'!F$14+K141*'Pesos GPS'!F$15+L141*'Pesos GPS'!F$16+'Pesos GPS'!F$17)</f>
        <v>0</v>
      </c>
      <c r="R141" s="5">
        <f>MAX(0,I141*'Pesos GPS'!G$13+J141*'Pesos GPS'!G$14+K141*'Pesos GPS'!G$15+L141*'Pesos GPS'!G$16+'Pesos GPS'!G$17)</f>
        <v>1.088833836</v>
      </c>
      <c r="S141" s="5">
        <f>MAX(0,I141*'Pesos GPS'!H$13+J141*'Pesos GPS'!H$14+K141*'Pesos GPS'!H$15+L141*'Pesos GPS'!H$16+'Pesos GPS'!H$17)</f>
        <v>0</v>
      </c>
      <c r="T141" s="5">
        <f>MAX(0,I141*'Pesos GPS'!I$13+J141*'Pesos GPS'!I$14+K141*'Pesos GPS'!I$15+L141*'Pesos GPS'!I$16+'Pesos GPS'!I$17)</f>
        <v>0</v>
      </c>
      <c r="U141" s="5">
        <f>M141*'Pesos GPS'!$B$22+N141*'Pesos GPS'!$B$23+O141*'Pesos GPS'!$B$24+P141*'Pesos GPS'!$B$25+Q141*'Pesos GPS'!$B$26+R141*'Pesos GPS'!$B$27+S141*'Pesos GPS'!$B$28+T141*'Pesos GPS'!$B$29+'Pesos GPS'!$B$30</f>
        <v>-4.234307264</v>
      </c>
      <c r="V141" s="5">
        <f t="shared" si="1"/>
        <v>0.01428288754</v>
      </c>
      <c r="W141" s="3">
        <f t="shared" si="2"/>
        <v>0</v>
      </c>
      <c r="X141" s="3">
        <f t="shared" si="3"/>
        <v>1</v>
      </c>
      <c r="Y141" s="9">
        <f t="shared" si="4"/>
        <v>0</v>
      </c>
      <c r="Z141" s="9">
        <v>0.014282887535452007</v>
      </c>
      <c r="AA141" s="3" t="str">
        <f t="shared" si="5"/>
        <v>OK</v>
      </c>
    </row>
    <row r="142" ht="15.75" customHeight="1">
      <c r="A142" s="3">
        <v>141.0</v>
      </c>
      <c r="B142" s="3" t="s">
        <v>15</v>
      </c>
      <c r="C142" s="7">
        <v>40.720259</v>
      </c>
      <c r="D142" s="7">
        <v>-74.012299</v>
      </c>
      <c r="E142" s="3">
        <v>0.0</v>
      </c>
      <c r="F142" s="3" t="s">
        <v>55</v>
      </c>
      <c r="G142" s="5">
        <f>(C142-'Pesos GPS'!$L$4)/'Pesos GPS'!$L$5</f>
        <v>1.00329074</v>
      </c>
      <c r="H142" s="5">
        <f>(D142-'Pesos GPS'!$L$6)/'Pesos GPS'!$L$7</f>
        <v>-1.000051534</v>
      </c>
      <c r="I142" s="5">
        <f>MAX(0,G142*'Pesos GPS'!B$6+H142*'Pesos GPS'!B$7+'Pesos GPS'!B$8)</f>
        <v>2.67002836</v>
      </c>
      <c r="J142" s="5">
        <f>MAX(0,G142*'Pesos GPS'!C$6+H142*'Pesos GPS'!C$7+'Pesos GPS'!C$8)</f>
        <v>0.344374196</v>
      </c>
      <c r="K142" s="5">
        <f>MAX(0,G142*'Pesos GPS'!D$6+H142*'Pesos GPS'!D$7+'Pesos GPS'!D$8)</f>
        <v>0.4777061433</v>
      </c>
      <c r="L142" s="5">
        <f>MAX(0,G142*'Pesos GPS'!E$6+H142*'Pesos GPS'!E$7+'Pesos GPS'!E$8)</f>
        <v>1.792394287</v>
      </c>
      <c r="M142" s="5">
        <f>MAX(0,I142*'Pesos GPS'!B$13+J142*'Pesos GPS'!B$14+K142*'Pesos GPS'!B$15+L142*'Pesos GPS'!B$16+'Pesos GPS'!B$17)</f>
        <v>0</v>
      </c>
      <c r="N142" s="5">
        <f>MAX(0,I142*'Pesos GPS'!C$13+J142*'Pesos GPS'!C$14+K142*'Pesos GPS'!C$15+L142*'Pesos GPS'!C$16+'Pesos GPS'!C$17)</f>
        <v>0</v>
      </c>
      <c r="O142" s="5">
        <f>MAX(0,I142*'Pesos GPS'!D$13+J142*'Pesos GPS'!D$14+K142*'Pesos GPS'!D$15+L142*'Pesos GPS'!D$16+'Pesos GPS'!D$17)</f>
        <v>4.33792655</v>
      </c>
      <c r="P142" s="5">
        <f>MAX(0,I142*'Pesos GPS'!E$13+J142*'Pesos GPS'!E$14+K142*'Pesos GPS'!E$15+L142*'Pesos GPS'!E$16+'Pesos GPS'!E$17)</f>
        <v>3.454166445</v>
      </c>
      <c r="Q142" s="5">
        <f>MAX(0,I142*'Pesos GPS'!F$13+J142*'Pesos GPS'!F$14+K142*'Pesos GPS'!F$15+L142*'Pesos GPS'!F$16+'Pesos GPS'!F$17)</f>
        <v>0</v>
      </c>
      <c r="R142" s="5">
        <f>MAX(0,I142*'Pesos GPS'!G$13+J142*'Pesos GPS'!G$14+K142*'Pesos GPS'!G$15+L142*'Pesos GPS'!G$16+'Pesos GPS'!G$17)</f>
        <v>1.081700134</v>
      </c>
      <c r="S142" s="5">
        <f>MAX(0,I142*'Pesos GPS'!H$13+J142*'Pesos GPS'!H$14+K142*'Pesos GPS'!H$15+L142*'Pesos GPS'!H$16+'Pesos GPS'!H$17)</f>
        <v>0</v>
      </c>
      <c r="T142" s="5">
        <f>MAX(0,I142*'Pesos GPS'!I$13+J142*'Pesos GPS'!I$14+K142*'Pesos GPS'!I$15+L142*'Pesos GPS'!I$16+'Pesos GPS'!I$17)</f>
        <v>0</v>
      </c>
      <c r="U142" s="5">
        <f>M142*'Pesos GPS'!$B$22+N142*'Pesos GPS'!$B$23+O142*'Pesos GPS'!$B$24+P142*'Pesos GPS'!$B$25+Q142*'Pesos GPS'!$B$26+R142*'Pesos GPS'!$B$27+S142*'Pesos GPS'!$B$28+T142*'Pesos GPS'!$B$29+'Pesos GPS'!$B$30</f>
        <v>-4.203397415</v>
      </c>
      <c r="V142" s="5">
        <f t="shared" si="1"/>
        <v>0.01472466117</v>
      </c>
      <c r="W142" s="3">
        <f t="shared" si="2"/>
        <v>0</v>
      </c>
      <c r="X142" s="3">
        <f t="shared" si="3"/>
        <v>1</v>
      </c>
      <c r="Y142" s="9">
        <f t="shared" si="4"/>
        <v>0</v>
      </c>
      <c r="Z142" s="9">
        <v>0.014724661172805414</v>
      </c>
      <c r="AA142" s="3" t="str">
        <f t="shared" si="5"/>
        <v>OK</v>
      </c>
    </row>
    <row r="143" ht="15.75" customHeight="1">
      <c r="A143" s="3">
        <v>142.0</v>
      </c>
      <c r="B143" s="3" t="s">
        <v>15</v>
      </c>
      <c r="C143" s="7">
        <v>40.694988</v>
      </c>
      <c r="D143" s="7">
        <v>-74.002186</v>
      </c>
      <c r="E143" s="3">
        <v>0.0</v>
      </c>
      <c r="F143" s="3" t="s">
        <v>55</v>
      </c>
      <c r="G143" s="5">
        <f>(C143-'Pesos GPS'!$L$4)/'Pesos GPS'!$L$5</f>
        <v>0.9932530198</v>
      </c>
      <c r="H143" s="5">
        <f>(D143-'Pesos GPS'!$L$6)/'Pesos GPS'!$L$7</f>
        <v>-0.9999568676</v>
      </c>
      <c r="I143" s="5">
        <f>MAX(0,G143*'Pesos GPS'!B$6+H143*'Pesos GPS'!B$7+'Pesos GPS'!B$8)</f>
        <v>2.665391173</v>
      </c>
      <c r="J143" s="5">
        <f>MAX(0,G143*'Pesos GPS'!C$6+H143*'Pesos GPS'!C$7+'Pesos GPS'!C$8)</f>
        <v>0.3544014339</v>
      </c>
      <c r="K143" s="5">
        <f>MAX(0,G143*'Pesos GPS'!D$6+H143*'Pesos GPS'!D$7+'Pesos GPS'!D$8)</f>
        <v>0.4706825663</v>
      </c>
      <c r="L143" s="5">
        <f>MAX(0,G143*'Pesos GPS'!E$6+H143*'Pesos GPS'!E$7+'Pesos GPS'!E$8)</f>
        <v>1.78112693</v>
      </c>
      <c r="M143" s="5">
        <f>MAX(0,I143*'Pesos GPS'!B$13+J143*'Pesos GPS'!B$14+K143*'Pesos GPS'!B$15+L143*'Pesos GPS'!B$16+'Pesos GPS'!B$17)</f>
        <v>0</v>
      </c>
      <c r="N143" s="5">
        <f>MAX(0,I143*'Pesos GPS'!C$13+J143*'Pesos GPS'!C$14+K143*'Pesos GPS'!C$15+L143*'Pesos GPS'!C$16+'Pesos GPS'!C$17)</f>
        <v>0</v>
      </c>
      <c r="O143" s="5">
        <f>MAX(0,I143*'Pesos GPS'!D$13+J143*'Pesos GPS'!D$14+K143*'Pesos GPS'!D$15+L143*'Pesos GPS'!D$16+'Pesos GPS'!D$17)</f>
        <v>4.329149538</v>
      </c>
      <c r="P143" s="5">
        <f>MAX(0,I143*'Pesos GPS'!E$13+J143*'Pesos GPS'!E$14+K143*'Pesos GPS'!E$15+L143*'Pesos GPS'!E$16+'Pesos GPS'!E$17)</f>
        <v>3.439104751</v>
      </c>
      <c r="Q143" s="5">
        <f>MAX(0,I143*'Pesos GPS'!F$13+J143*'Pesos GPS'!F$14+K143*'Pesos GPS'!F$15+L143*'Pesos GPS'!F$16+'Pesos GPS'!F$17)</f>
        <v>0</v>
      </c>
      <c r="R143" s="5">
        <f>MAX(0,I143*'Pesos GPS'!G$13+J143*'Pesos GPS'!G$14+K143*'Pesos GPS'!G$15+L143*'Pesos GPS'!G$16+'Pesos GPS'!G$17)</f>
        <v>1.077613091</v>
      </c>
      <c r="S143" s="5">
        <f>MAX(0,I143*'Pesos GPS'!H$13+J143*'Pesos GPS'!H$14+K143*'Pesos GPS'!H$15+L143*'Pesos GPS'!H$16+'Pesos GPS'!H$17)</f>
        <v>0.003193900749</v>
      </c>
      <c r="T143" s="5">
        <f>MAX(0,I143*'Pesos GPS'!I$13+J143*'Pesos GPS'!I$14+K143*'Pesos GPS'!I$15+L143*'Pesos GPS'!I$16+'Pesos GPS'!I$17)</f>
        <v>0</v>
      </c>
      <c r="U143" s="5">
        <f>M143*'Pesos GPS'!$B$22+N143*'Pesos GPS'!$B$23+O143*'Pesos GPS'!$B$24+P143*'Pesos GPS'!$B$25+Q143*'Pesos GPS'!$B$26+R143*'Pesos GPS'!$B$27+S143*'Pesos GPS'!$B$28+T143*'Pesos GPS'!$B$29+'Pesos GPS'!$B$30</f>
        <v>-4.184539014</v>
      </c>
      <c r="V143" s="5">
        <f t="shared" si="1"/>
        <v>0.01500077461</v>
      </c>
      <c r="W143" s="3">
        <f t="shared" si="2"/>
        <v>0</v>
      </c>
      <c r="X143" s="3">
        <f t="shared" si="3"/>
        <v>1</v>
      </c>
      <c r="Y143" s="9">
        <f t="shared" si="4"/>
        <v>0</v>
      </c>
      <c r="Z143" s="9">
        <v>0.015000774613639656</v>
      </c>
      <c r="AA143" s="3" t="str">
        <f t="shared" si="5"/>
        <v>OK</v>
      </c>
    </row>
    <row r="144" ht="15.75" customHeight="1">
      <c r="A144" s="3">
        <v>143.0</v>
      </c>
      <c r="B144" s="3" t="s">
        <v>15</v>
      </c>
      <c r="C144" s="7">
        <v>40.674423</v>
      </c>
      <c r="D144" s="7">
        <v>-73.969213</v>
      </c>
      <c r="E144" s="3">
        <v>0.0</v>
      </c>
      <c r="F144" s="3" t="s">
        <v>55</v>
      </c>
      <c r="G144" s="5">
        <f>(C144-'Pesos GPS'!$L$4)/'Pesos GPS'!$L$5</f>
        <v>0.9850845378</v>
      </c>
      <c r="H144" s="5">
        <f>(D144-'Pesos GPS'!$L$6)/'Pesos GPS'!$L$7</f>
        <v>-0.9996482117</v>
      </c>
      <c r="I144" s="5">
        <f>MAX(0,G144*'Pesos GPS'!B$6+H144*'Pesos GPS'!B$7+'Pesos GPS'!B$8)</f>
        <v>2.661133768</v>
      </c>
      <c r="J144" s="5">
        <f>MAX(0,G144*'Pesos GPS'!C$6+H144*'Pesos GPS'!C$7+'Pesos GPS'!C$8)</f>
        <v>0.3622531807</v>
      </c>
      <c r="K144" s="5">
        <f>MAX(0,G144*'Pesos GPS'!D$6+H144*'Pesos GPS'!D$7+'Pesos GPS'!D$8)</f>
        <v>0.465007905</v>
      </c>
      <c r="L144" s="5">
        <f>MAX(0,G144*'Pesos GPS'!E$6+H144*'Pesos GPS'!E$7+'Pesos GPS'!E$8)</f>
        <v>1.771843483</v>
      </c>
      <c r="M144" s="5">
        <f>MAX(0,I144*'Pesos GPS'!B$13+J144*'Pesos GPS'!B$14+K144*'Pesos GPS'!B$15+L144*'Pesos GPS'!B$16+'Pesos GPS'!B$17)</f>
        <v>0</v>
      </c>
      <c r="N144" s="5">
        <f>MAX(0,I144*'Pesos GPS'!C$13+J144*'Pesos GPS'!C$14+K144*'Pesos GPS'!C$15+L144*'Pesos GPS'!C$16+'Pesos GPS'!C$17)</f>
        <v>0</v>
      </c>
      <c r="O144" s="5">
        <f>MAX(0,I144*'Pesos GPS'!D$13+J144*'Pesos GPS'!D$14+K144*'Pesos GPS'!D$15+L144*'Pesos GPS'!D$16+'Pesos GPS'!D$17)</f>
        <v>4.321257326</v>
      </c>
      <c r="P144" s="5">
        <f>MAX(0,I144*'Pesos GPS'!E$13+J144*'Pesos GPS'!E$14+K144*'Pesos GPS'!E$15+L144*'Pesos GPS'!E$16+'Pesos GPS'!E$17)</f>
        <v>3.426446259</v>
      </c>
      <c r="Q144" s="5">
        <f>MAX(0,I144*'Pesos GPS'!F$13+J144*'Pesos GPS'!F$14+K144*'Pesos GPS'!F$15+L144*'Pesos GPS'!F$16+'Pesos GPS'!F$17)</f>
        <v>0</v>
      </c>
      <c r="R144" s="5">
        <f>MAX(0,I144*'Pesos GPS'!G$13+J144*'Pesos GPS'!G$14+K144*'Pesos GPS'!G$15+L144*'Pesos GPS'!G$16+'Pesos GPS'!G$17)</f>
        <v>1.074124635</v>
      </c>
      <c r="S144" s="5">
        <f>MAX(0,I144*'Pesos GPS'!H$13+J144*'Pesos GPS'!H$14+K144*'Pesos GPS'!H$15+L144*'Pesos GPS'!H$16+'Pesos GPS'!H$17)</f>
        <v>0.007431066653</v>
      </c>
      <c r="T144" s="5">
        <f>MAX(0,I144*'Pesos GPS'!I$13+J144*'Pesos GPS'!I$14+K144*'Pesos GPS'!I$15+L144*'Pesos GPS'!I$16+'Pesos GPS'!I$17)</f>
        <v>0</v>
      </c>
      <c r="U144" s="5">
        <f>M144*'Pesos GPS'!$B$22+N144*'Pesos GPS'!$B$23+O144*'Pesos GPS'!$B$24+P144*'Pesos GPS'!$B$25+Q144*'Pesos GPS'!$B$26+R144*'Pesos GPS'!$B$27+S144*'Pesos GPS'!$B$28+T144*'Pesos GPS'!$B$29+'Pesos GPS'!$B$30</f>
        <v>-4.167655202</v>
      </c>
      <c r="V144" s="5">
        <f t="shared" si="1"/>
        <v>0.0152522993</v>
      </c>
      <c r="W144" s="3">
        <f t="shared" si="2"/>
        <v>0</v>
      </c>
      <c r="X144" s="3">
        <f t="shared" si="3"/>
        <v>1</v>
      </c>
      <c r="Y144" s="9">
        <f t="shared" si="4"/>
        <v>0</v>
      </c>
      <c r="Z144" s="9">
        <v>0.015252299297186602</v>
      </c>
      <c r="AA144" s="3" t="str">
        <f t="shared" si="5"/>
        <v>OK</v>
      </c>
    </row>
    <row r="145" ht="15.75" customHeight="1">
      <c r="A145" s="3">
        <v>144.0</v>
      </c>
      <c r="B145" s="3" t="s">
        <v>15</v>
      </c>
      <c r="C145" s="7">
        <v>40.717619</v>
      </c>
      <c r="D145" s="7">
        <v>-74.070166</v>
      </c>
      <c r="E145" s="3">
        <v>0.0</v>
      </c>
      <c r="F145" s="3" t="s">
        <v>55</v>
      </c>
      <c r="G145" s="5">
        <f>(C145-'Pesos GPS'!$L$4)/'Pesos GPS'!$L$5</f>
        <v>1.002242123</v>
      </c>
      <c r="H145" s="5">
        <f>(D145-'Pesos GPS'!$L$6)/'Pesos GPS'!$L$7</f>
        <v>-1.000593219</v>
      </c>
      <c r="I145" s="5">
        <f>MAX(0,G145*'Pesos GPS'!B$6+H145*'Pesos GPS'!B$7+'Pesos GPS'!B$8)</f>
        <v>2.67069595</v>
      </c>
      <c r="J145" s="5">
        <f>MAX(0,G145*'Pesos GPS'!C$6+H145*'Pesos GPS'!C$7+'Pesos GPS'!C$8)</f>
        <v>0.3461556756</v>
      </c>
      <c r="K145" s="5">
        <f>MAX(0,G145*'Pesos GPS'!D$6+H145*'Pesos GPS'!D$7+'Pesos GPS'!D$8)</f>
        <v>0.4768748282</v>
      </c>
      <c r="L145" s="5">
        <f>MAX(0,G145*'Pesos GPS'!E$6+H145*'Pesos GPS'!E$7+'Pesos GPS'!E$8)</f>
        <v>1.791489439</v>
      </c>
      <c r="M145" s="5">
        <f>MAX(0,I145*'Pesos GPS'!B$13+J145*'Pesos GPS'!B$14+K145*'Pesos GPS'!B$15+L145*'Pesos GPS'!B$16+'Pesos GPS'!B$17)</f>
        <v>0</v>
      </c>
      <c r="N145" s="5">
        <f>MAX(0,I145*'Pesos GPS'!C$13+J145*'Pesos GPS'!C$14+K145*'Pesos GPS'!C$15+L145*'Pesos GPS'!C$16+'Pesos GPS'!C$17)</f>
        <v>0</v>
      </c>
      <c r="O145" s="5">
        <f>MAX(0,I145*'Pesos GPS'!D$13+J145*'Pesos GPS'!D$14+K145*'Pesos GPS'!D$15+L145*'Pesos GPS'!D$16+'Pesos GPS'!D$17)</f>
        <v>4.338794887</v>
      </c>
      <c r="P145" s="5">
        <f>MAX(0,I145*'Pesos GPS'!E$13+J145*'Pesos GPS'!E$14+K145*'Pesos GPS'!E$15+L145*'Pesos GPS'!E$16+'Pesos GPS'!E$17)</f>
        <v>3.453549373</v>
      </c>
      <c r="Q145" s="5">
        <f>MAX(0,I145*'Pesos GPS'!F$13+J145*'Pesos GPS'!F$14+K145*'Pesos GPS'!F$15+L145*'Pesos GPS'!F$16+'Pesos GPS'!F$17)</f>
        <v>0</v>
      </c>
      <c r="R145" s="5">
        <f>MAX(0,I145*'Pesos GPS'!G$13+J145*'Pesos GPS'!G$14+K145*'Pesos GPS'!G$15+L145*'Pesos GPS'!G$16+'Pesos GPS'!G$17)</f>
        <v>1.081660164</v>
      </c>
      <c r="S145" s="5">
        <f>MAX(0,I145*'Pesos GPS'!H$13+J145*'Pesos GPS'!H$14+K145*'Pesos GPS'!H$15+L145*'Pesos GPS'!H$16+'Pesos GPS'!H$17)</f>
        <v>0</v>
      </c>
      <c r="T145" s="5">
        <f>MAX(0,I145*'Pesos GPS'!I$13+J145*'Pesos GPS'!I$14+K145*'Pesos GPS'!I$15+L145*'Pesos GPS'!I$16+'Pesos GPS'!I$17)</f>
        <v>0</v>
      </c>
      <c r="U145" s="5">
        <f>M145*'Pesos GPS'!$B$22+N145*'Pesos GPS'!$B$23+O145*'Pesos GPS'!$B$24+P145*'Pesos GPS'!$B$25+Q145*'Pesos GPS'!$B$26+R145*'Pesos GPS'!$B$27+S145*'Pesos GPS'!$B$28+T145*'Pesos GPS'!$B$29+'Pesos GPS'!$B$30</f>
        <v>-4.203983751</v>
      </c>
      <c r="V145" s="5">
        <f t="shared" si="1"/>
        <v>0.01471615712</v>
      </c>
      <c r="W145" s="3">
        <f t="shared" si="2"/>
        <v>0</v>
      </c>
      <c r="X145" s="3">
        <f t="shared" si="3"/>
        <v>1</v>
      </c>
      <c r="Y145" s="9">
        <f t="shared" si="4"/>
        <v>0</v>
      </c>
      <c r="Z145" s="9">
        <v>0.014716157116489189</v>
      </c>
      <c r="AA145" s="3" t="str">
        <f t="shared" si="5"/>
        <v>OK</v>
      </c>
    </row>
    <row r="146" ht="15.75" customHeight="1">
      <c r="A146" s="3">
        <v>145.0</v>
      </c>
      <c r="B146" s="3" t="s">
        <v>15</v>
      </c>
      <c r="C146" s="7">
        <v>40.698167</v>
      </c>
      <c r="D146" s="7">
        <v>-74.011921</v>
      </c>
      <c r="E146" s="3">
        <v>0.0</v>
      </c>
      <c r="F146" s="3" t="s">
        <v>55</v>
      </c>
      <c r="G146" s="5">
        <f>(C146-'Pesos GPS'!$L$4)/'Pesos GPS'!$L$5</f>
        <v>0.9945157285</v>
      </c>
      <c r="H146" s="5">
        <f>(D146-'Pesos GPS'!$L$6)/'Pesos GPS'!$L$7</f>
        <v>-1.000047996</v>
      </c>
      <c r="I146" s="5">
        <f>MAX(0,G146*'Pesos GPS'!B$6+H146*'Pesos GPS'!B$7+'Pesos GPS'!B$8)</f>
        <v>2.666139972</v>
      </c>
      <c r="J146" s="5">
        <f>MAX(0,G146*'Pesos GPS'!C$6+H146*'Pesos GPS'!C$7+'Pesos GPS'!C$8)</f>
        <v>0.3532454578</v>
      </c>
      <c r="K146" s="5">
        <f>MAX(0,G146*'Pesos GPS'!D$6+H146*'Pesos GPS'!D$7+'Pesos GPS'!D$8)</f>
        <v>0.4715520921</v>
      </c>
      <c r="L146" s="5">
        <f>MAX(0,G146*'Pesos GPS'!E$6+H146*'Pesos GPS'!E$7+'Pesos GPS'!E$8)</f>
        <v>1.782583421</v>
      </c>
      <c r="M146" s="5">
        <f>MAX(0,I146*'Pesos GPS'!B$13+J146*'Pesos GPS'!B$14+K146*'Pesos GPS'!B$15+L146*'Pesos GPS'!B$16+'Pesos GPS'!B$17)</f>
        <v>0</v>
      </c>
      <c r="N146" s="5">
        <f>MAX(0,I146*'Pesos GPS'!C$13+J146*'Pesos GPS'!C$14+K146*'Pesos GPS'!C$15+L146*'Pesos GPS'!C$16+'Pesos GPS'!C$17)</f>
        <v>0</v>
      </c>
      <c r="O146" s="5">
        <f>MAX(0,I146*'Pesos GPS'!D$13+J146*'Pesos GPS'!D$14+K146*'Pesos GPS'!D$15+L146*'Pesos GPS'!D$16+'Pesos GPS'!D$17)</f>
        <v>4.330510059</v>
      </c>
      <c r="P146" s="5">
        <f>MAX(0,I146*'Pesos GPS'!E$13+J146*'Pesos GPS'!E$14+K146*'Pesos GPS'!E$15+L146*'Pesos GPS'!E$16+'Pesos GPS'!E$17)</f>
        <v>3.441136818</v>
      </c>
      <c r="Q146" s="5">
        <f>MAX(0,I146*'Pesos GPS'!F$13+J146*'Pesos GPS'!F$14+K146*'Pesos GPS'!F$15+L146*'Pesos GPS'!F$16+'Pesos GPS'!F$17)</f>
        <v>0</v>
      </c>
      <c r="R146" s="5">
        <f>MAX(0,I146*'Pesos GPS'!G$13+J146*'Pesos GPS'!G$14+K146*'Pesos GPS'!G$15+L146*'Pesos GPS'!G$16+'Pesos GPS'!G$17)</f>
        <v>1.078182807</v>
      </c>
      <c r="S146" s="5">
        <f>MAX(0,I146*'Pesos GPS'!H$13+J146*'Pesos GPS'!H$14+K146*'Pesos GPS'!H$15+L146*'Pesos GPS'!H$16+'Pesos GPS'!H$17)</f>
        <v>0.002573084965</v>
      </c>
      <c r="T146" s="5">
        <f>MAX(0,I146*'Pesos GPS'!I$13+J146*'Pesos GPS'!I$14+K146*'Pesos GPS'!I$15+L146*'Pesos GPS'!I$16+'Pesos GPS'!I$17)</f>
        <v>0</v>
      </c>
      <c r="U146" s="5">
        <f>M146*'Pesos GPS'!$B$22+N146*'Pesos GPS'!$B$23+O146*'Pesos GPS'!$B$24+P146*'Pesos GPS'!$B$25+Q146*'Pesos GPS'!$B$26+R146*'Pesos GPS'!$B$27+S146*'Pesos GPS'!$B$28+T146*'Pesos GPS'!$B$29+'Pesos GPS'!$B$30</f>
        <v>-4.187331472</v>
      </c>
      <c r="V146" s="5">
        <f t="shared" si="1"/>
        <v>0.01495956978</v>
      </c>
      <c r="W146" s="3">
        <f t="shared" si="2"/>
        <v>0</v>
      </c>
      <c r="X146" s="3">
        <f t="shared" si="3"/>
        <v>1</v>
      </c>
      <c r="Y146" s="9">
        <f t="shared" si="4"/>
        <v>0</v>
      </c>
      <c r="Z146" s="9">
        <v>0.014959569779519462</v>
      </c>
      <c r="AA146" s="3" t="str">
        <f t="shared" si="5"/>
        <v>OK</v>
      </c>
    </row>
    <row r="147" ht="15.75" customHeight="1">
      <c r="A147" s="3">
        <v>146.0</v>
      </c>
      <c r="B147" s="3" t="s">
        <v>15</v>
      </c>
      <c r="C147" s="7">
        <v>40.705324</v>
      </c>
      <c r="D147" s="7">
        <v>-74.001587</v>
      </c>
      <c r="E147" s="3">
        <v>0.0</v>
      </c>
      <c r="F147" s="3" t="s">
        <v>55</v>
      </c>
      <c r="G147" s="5">
        <f>(C147-'Pesos GPS'!$L$4)/'Pesos GPS'!$L$5</f>
        <v>0.9973585112</v>
      </c>
      <c r="H147" s="5">
        <f>(D147-'Pesos GPS'!$L$6)/'Pesos GPS'!$L$7</f>
        <v>-0.9999512604</v>
      </c>
      <c r="I147" s="5">
        <f>MAX(0,G147*'Pesos GPS'!B$6+H147*'Pesos GPS'!B$7+'Pesos GPS'!B$8)</f>
        <v>2.667195231</v>
      </c>
      <c r="J147" s="5">
        <f>MAX(0,G147*'Pesos GPS'!C$6+H147*'Pesos GPS'!C$7+'Pesos GPS'!C$8)</f>
        <v>0.3502412464</v>
      </c>
      <c r="K147" s="5">
        <f>MAX(0,G147*'Pesos GPS'!D$6+H147*'Pesos GPS'!D$7+'Pesos GPS'!D$8)</f>
        <v>0.4735630958</v>
      </c>
      <c r="L147" s="5">
        <f>MAX(0,G147*'Pesos GPS'!E$6+H147*'Pesos GPS'!E$7+'Pesos GPS'!E$8)</f>
        <v>1.785713474</v>
      </c>
      <c r="M147" s="5">
        <f>MAX(0,I147*'Pesos GPS'!B$13+J147*'Pesos GPS'!B$14+K147*'Pesos GPS'!B$15+L147*'Pesos GPS'!B$16+'Pesos GPS'!B$17)</f>
        <v>0</v>
      </c>
      <c r="N147" s="5">
        <f>MAX(0,I147*'Pesos GPS'!C$13+J147*'Pesos GPS'!C$14+K147*'Pesos GPS'!C$15+L147*'Pesos GPS'!C$16+'Pesos GPS'!C$17)</f>
        <v>0</v>
      </c>
      <c r="O147" s="5">
        <f>MAX(0,I147*'Pesos GPS'!D$13+J147*'Pesos GPS'!D$14+K147*'Pesos GPS'!D$15+L147*'Pesos GPS'!D$16+'Pesos GPS'!D$17)</f>
        <v>4.332595923</v>
      </c>
      <c r="P147" s="5">
        <f>MAX(0,I147*'Pesos GPS'!E$13+J147*'Pesos GPS'!E$14+K147*'Pesos GPS'!E$15+L147*'Pesos GPS'!E$16+'Pesos GPS'!E$17)</f>
        <v>3.445188222</v>
      </c>
      <c r="Q147" s="5">
        <f>MAX(0,I147*'Pesos GPS'!F$13+J147*'Pesos GPS'!F$14+K147*'Pesos GPS'!F$15+L147*'Pesos GPS'!F$16+'Pesos GPS'!F$17)</f>
        <v>0</v>
      </c>
      <c r="R147" s="5">
        <f>MAX(0,I147*'Pesos GPS'!G$13+J147*'Pesos GPS'!G$14+K147*'Pesos GPS'!G$15+L147*'Pesos GPS'!G$16+'Pesos GPS'!G$17)</f>
        <v>1.079253617</v>
      </c>
      <c r="S147" s="5">
        <f>MAX(0,I147*'Pesos GPS'!H$13+J147*'Pesos GPS'!H$14+K147*'Pesos GPS'!H$15+L147*'Pesos GPS'!H$16+'Pesos GPS'!H$17)</f>
        <v>0.0009377550884</v>
      </c>
      <c r="T147" s="5">
        <f>MAX(0,I147*'Pesos GPS'!I$13+J147*'Pesos GPS'!I$14+K147*'Pesos GPS'!I$15+L147*'Pesos GPS'!I$16+'Pesos GPS'!I$17)</f>
        <v>0</v>
      </c>
      <c r="U147" s="5">
        <f>M147*'Pesos GPS'!$B$22+N147*'Pesos GPS'!$B$23+O147*'Pesos GPS'!$B$24+P147*'Pesos GPS'!$B$25+Q147*'Pesos GPS'!$B$26+R147*'Pesos GPS'!$B$27+S147*'Pesos GPS'!$B$28+T147*'Pesos GPS'!$B$29+'Pesos GPS'!$B$30</f>
        <v>-4.192349137</v>
      </c>
      <c r="V147" s="5">
        <f t="shared" si="1"/>
        <v>0.01488581024</v>
      </c>
      <c r="W147" s="3">
        <f t="shared" si="2"/>
        <v>0</v>
      </c>
      <c r="X147" s="3">
        <f t="shared" si="3"/>
        <v>1</v>
      </c>
      <c r="Y147" s="9">
        <f t="shared" si="4"/>
        <v>0</v>
      </c>
      <c r="Z147" s="9">
        <v>0.014885810236031926</v>
      </c>
      <c r="AA147" s="3" t="str">
        <f t="shared" si="5"/>
        <v>OK</v>
      </c>
    </row>
    <row r="148" ht="15.75" customHeight="1">
      <c r="A148" s="3">
        <v>147.0</v>
      </c>
      <c r="B148" s="3" t="s">
        <v>15</v>
      </c>
      <c r="C148" s="7">
        <v>40.701782</v>
      </c>
      <c r="D148" s="7">
        <v>-73.9986</v>
      </c>
      <c r="E148" s="3">
        <v>0.0</v>
      </c>
      <c r="F148" s="3" t="s">
        <v>55</v>
      </c>
      <c r="G148" s="5">
        <f>(C148-'Pesos GPS'!$L$4)/'Pesos GPS'!$L$5</f>
        <v>0.9959516178</v>
      </c>
      <c r="H148" s="5">
        <f>(D148-'Pesos GPS'!$L$6)/'Pesos GPS'!$L$7</f>
        <v>-0.9999232995</v>
      </c>
      <c r="I148" s="5">
        <f>MAX(0,G148*'Pesos GPS'!B$6+H148*'Pesos GPS'!B$7+'Pesos GPS'!B$8)</f>
        <v>2.666514593</v>
      </c>
      <c r="J148" s="5">
        <f>MAX(0,G148*'Pesos GPS'!C$6+H148*'Pesos GPS'!C$7+'Pesos GPS'!C$8)</f>
        <v>0.3516271201</v>
      </c>
      <c r="K148" s="5">
        <f>MAX(0,G148*'Pesos GPS'!D$6+H148*'Pesos GPS'!D$7+'Pesos GPS'!D$8)</f>
        <v>0.4725812659</v>
      </c>
      <c r="L148" s="5">
        <f>MAX(0,G148*'Pesos GPS'!E$6+H148*'Pesos GPS'!E$7+'Pesos GPS'!E$8)</f>
        <v>1.784126982</v>
      </c>
      <c r="M148" s="5">
        <f>MAX(0,I148*'Pesos GPS'!B$13+J148*'Pesos GPS'!B$14+K148*'Pesos GPS'!B$15+L148*'Pesos GPS'!B$16+'Pesos GPS'!B$17)</f>
        <v>0</v>
      </c>
      <c r="N148" s="5">
        <f>MAX(0,I148*'Pesos GPS'!C$13+J148*'Pesos GPS'!C$14+K148*'Pesos GPS'!C$15+L148*'Pesos GPS'!C$16+'Pesos GPS'!C$17)</f>
        <v>0</v>
      </c>
      <c r="O148" s="5">
        <f>MAX(0,I148*'Pesos GPS'!D$13+J148*'Pesos GPS'!D$14+K148*'Pesos GPS'!D$15+L148*'Pesos GPS'!D$16+'Pesos GPS'!D$17)</f>
        <v>4.331318177</v>
      </c>
      <c r="P148" s="5">
        <f>MAX(0,I148*'Pesos GPS'!E$13+J148*'Pesos GPS'!E$14+K148*'Pesos GPS'!E$15+L148*'Pesos GPS'!E$16+'Pesos GPS'!E$17)</f>
        <v>3.443051689</v>
      </c>
      <c r="Q148" s="5">
        <f>MAX(0,I148*'Pesos GPS'!F$13+J148*'Pesos GPS'!F$14+K148*'Pesos GPS'!F$15+L148*'Pesos GPS'!F$16+'Pesos GPS'!F$17)</f>
        <v>0</v>
      </c>
      <c r="R148" s="5">
        <f>MAX(0,I148*'Pesos GPS'!G$13+J148*'Pesos GPS'!G$14+K148*'Pesos GPS'!G$15+L148*'Pesos GPS'!G$16+'Pesos GPS'!G$17)</f>
        <v>1.078670466</v>
      </c>
      <c r="S148" s="5">
        <f>MAX(0,I148*'Pesos GPS'!H$13+J148*'Pesos GPS'!H$14+K148*'Pesos GPS'!H$15+L148*'Pesos GPS'!H$16+'Pesos GPS'!H$17)</f>
        <v>0.001687379404</v>
      </c>
      <c r="T148" s="5">
        <f>MAX(0,I148*'Pesos GPS'!I$13+J148*'Pesos GPS'!I$14+K148*'Pesos GPS'!I$15+L148*'Pesos GPS'!I$16+'Pesos GPS'!I$17)</f>
        <v>0</v>
      </c>
      <c r="U148" s="5">
        <f>M148*'Pesos GPS'!$B$22+N148*'Pesos GPS'!$B$23+O148*'Pesos GPS'!$B$24+P148*'Pesos GPS'!$B$25+Q148*'Pesos GPS'!$B$26+R148*'Pesos GPS'!$B$27+S148*'Pesos GPS'!$B$28+T148*'Pesos GPS'!$B$29+'Pesos GPS'!$B$30</f>
        <v>-4.1895471</v>
      </c>
      <c r="V148" s="5">
        <f t="shared" si="1"/>
        <v>0.01492695583</v>
      </c>
      <c r="W148" s="3">
        <f t="shared" si="2"/>
        <v>0</v>
      </c>
      <c r="X148" s="3">
        <f t="shared" si="3"/>
        <v>1</v>
      </c>
      <c r="Y148" s="9">
        <f t="shared" si="4"/>
        <v>0</v>
      </c>
      <c r="Z148" s="9">
        <v>0.014926955831003588</v>
      </c>
      <c r="AA148" s="3" t="str">
        <f t="shared" si="5"/>
        <v>OK</v>
      </c>
    </row>
    <row r="149" ht="15.75" customHeight="1">
      <c r="A149" s="3">
        <v>148.0</v>
      </c>
      <c r="B149" s="3" t="s">
        <v>15</v>
      </c>
      <c r="C149" s="7">
        <v>40.710266</v>
      </c>
      <c r="D149" s="7">
        <v>-74.015298</v>
      </c>
      <c r="E149" s="3">
        <v>0.0</v>
      </c>
      <c r="F149" s="3" t="s">
        <v>55</v>
      </c>
      <c r="G149" s="5">
        <f>(C149-'Pesos GPS'!$L$4)/'Pesos GPS'!$L$5</f>
        <v>0.999321489</v>
      </c>
      <c r="H149" s="5">
        <f>(D149-'Pesos GPS'!$L$6)/'Pesos GPS'!$L$7</f>
        <v>-1.000079607</v>
      </c>
      <c r="I149" s="5">
        <f>MAX(0,G149*'Pesos GPS'!B$6+H149*'Pesos GPS'!B$7+'Pesos GPS'!B$8)</f>
        <v>2.66833148</v>
      </c>
      <c r="J149" s="5">
        <f>MAX(0,G149*'Pesos GPS'!C$6+H149*'Pesos GPS'!C$7+'Pesos GPS'!C$8)</f>
        <v>0.34842647</v>
      </c>
      <c r="K149" s="5">
        <f>MAX(0,G149*'Pesos GPS'!D$6+H149*'Pesos GPS'!D$7+'Pesos GPS'!D$8)</f>
        <v>0.4749171968</v>
      </c>
      <c r="L149" s="5">
        <f>MAX(0,G149*'Pesos GPS'!E$6+H149*'Pesos GPS'!E$7+'Pesos GPS'!E$8)</f>
        <v>1.787971127</v>
      </c>
      <c r="M149" s="5">
        <f>MAX(0,I149*'Pesos GPS'!B$13+J149*'Pesos GPS'!B$14+K149*'Pesos GPS'!B$15+L149*'Pesos GPS'!B$16+'Pesos GPS'!B$17)</f>
        <v>0</v>
      </c>
      <c r="N149" s="5">
        <f>MAX(0,I149*'Pesos GPS'!C$13+J149*'Pesos GPS'!C$14+K149*'Pesos GPS'!C$15+L149*'Pesos GPS'!C$16+'Pesos GPS'!C$17)</f>
        <v>0</v>
      </c>
      <c r="O149" s="5">
        <f>MAX(0,I149*'Pesos GPS'!D$13+J149*'Pesos GPS'!D$14+K149*'Pesos GPS'!D$15+L149*'Pesos GPS'!D$16+'Pesos GPS'!D$17)</f>
        <v>4.33466785</v>
      </c>
      <c r="P149" s="5">
        <f>MAX(0,I149*'Pesos GPS'!E$13+J149*'Pesos GPS'!E$14+K149*'Pesos GPS'!E$15+L149*'Pesos GPS'!E$16+'Pesos GPS'!E$17)</f>
        <v>3.448324132</v>
      </c>
      <c r="Q149" s="5">
        <f>MAX(0,I149*'Pesos GPS'!F$13+J149*'Pesos GPS'!F$14+K149*'Pesos GPS'!F$15+L149*'Pesos GPS'!F$16+'Pesos GPS'!F$17)</f>
        <v>0</v>
      </c>
      <c r="R149" s="5">
        <f>MAX(0,I149*'Pesos GPS'!G$13+J149*'Pesos GPS'!G$14+K149*'Pesos GPS'!G$15+L149*'Pesos GPS'!G$16+'Pesos GPS'!G$17)</f>
        <v>1.080129941</v>
      </c>
      <c r="S149" s="5">
        <f>MAX(0,I149*'Pesos GPS'!H$13+J149*'Pesos GPS'!H$14+K149*'Pesos GPS'!H$15+L149*'Pesos GPS'!H$16+'Pesos GPS'!H$17)</f>
        <v>0</v>
      </c>
      <c r="T149" s="5">
        <f>MAX(0,I149*'Pesos GPS'!I$13+J149*'Pesos GPS'!I$14+K149*'Pesos GPS'!I$15+L149*'Pesos GPS'!I$16+'Pesos GPS'!I$17)</f>
        <v>0</v>
      </c>
      <c r="U149" s="5">
        <f>M149*'Pesos GPS'!$B$22+N149*'Pesos GPS'!$B$23+O149*'Pesos GPS'!$B$24+P149*'Pesos GPS'!$B$25+Q149*'Pesos GPS'!$B$26+R149*'Pesos GPS'!$B$27+S149*'Pesos GPS'!$B$28+T149*'Pesos GPS'!$B$29+'Pesos GPS'!$B$30</f>
        <v>-4.196622525</v>
      </c>
      <c r="V149" s="5">
        <f t="shared" si="1"/>
        <v>0.01482327406</v>
      </c>
      <c r="W149" s="3">
        <f t="shared" si="2"/>
        <v>0</v>
      </c>
      <c r="X149" s="3">
        <f t="shared" si="3"/>
        <v>1</v>
      </c>
      <c r="Y149" s="9">
        <f t="shared" si="4"/>
        <v>0</v>
      </c>
      <c r="Z149" s="9">
        <v>0.014823274055186283</v>
      </c>
      <c r="AA149" s="3" t="str">
        <f t="shared" si="5"/>
        <v>OK</v>
      </c>
    </row>
    <row r="150" ht="15.75" customHeight="1">
      <c r="A150" s="3">
        <v>149.0</v>
      </c>
      <c r="B150" s="3" t="s">
        <v>15</v>
      </c>
      <c r="C150" s="7">
        <v>40.731988</v>
      </c>
      <c r="D150" s="7">
        <v>-74.049918</v>
      </c>
      <c r="E150" s="3">
        <v>0.0</v>
      </c>
      <c r="F150" s="3" t="s">
        <v>55</v>
      </c>
      <c r="G150" s="5">
        <f>(C150-'Pesos GPS'!$L$4)/'Pesos GPS'!$L$5</f>
        <v>1.007949535</v>
      </c>
      <c r="H150" s="5">
        <f>(D150-'Pesos GPS'!$L$6)/'Pesos GPS'!$L$7</f>
        <v>-1.000403681</v>
      </c>
      <c r="I150" s="5">
        <f>MAX(0,G150*'Pesos GPS'!B$6+H150*'Pesos GPS'!B$7+'Pesos GPS'!B$8)</f>
        <v>2.672824341</v>
      </c>
      <c r="J150" s="5">
        <f>MAX(0,G150*'Pesos GPS'!C$6+H150*'Pesos GPS'!C$7+'Pesos GPS'!C$8)</f>
        <v>0.340130387</v>
      </c>
      <c r="K150" s="5">
        <f>MAX(0,G150*'Pesos GPS'!D$6+H150*'Pesos GPS'!D$7+'Pesos GPS'!D$8)</f>
        <v>0.4809114628</v>
      </c>
      <c r="L150" s="5">
        <f>MAX(0,G150*'Pesos GPS'!E$6+H150*'Pesos GPS'!E$7+'Pesos GPS'!E$8)</f>
        <v>1.797775906</v>
      </c>
      <c r="M150" s="5">
        <f>MAX(0,I150*'Pesos GPS'!B$13+J150*'Pesos GPS'!B$14+K150*'Pesos GPS'!B$15+L150*'Pesos GPS'!B$16+'Pesos GPS'!B$17)</f>
        <v>0</v>
      </c>
      <c r="N150" s="5">
        <f>MAX(0,I150*'Pesos GPS'!C$13+J150*'Pesos GPS'!C$14+K150*'Pesos GPS'!C$15+L150*'Pesos GPS'!C$16+'Pesos GPS'!C$17)</f>
        <v>0</v>
      </c>
      <c r="O150" s="5">
        <f>MAX(0,I150*'Pesos GPS'!D$13+J150*'Pesos GPS'!D$14+K150*'Pesos GPS'!D$15+L150*'Pesos GPS'!D$16+'Pesos GPS'!D$17)</f>
        <v>4.342997778</v>
      </c>
      <c r="P150" s="5">
        <f>MAX(0,I150*'Pesos GPS'!E$13+J150*'Pesos GPS'!E$14+K150*'Pesos GPS'!E$15+L150*'Pesos GPS'!E$16+'Pesos GPS'!E$17)</f>
        <v>3.461691422</v>
      </c>
      <c r="Q150" s="5">
        <f>MAX(0,I150*'Pesos GPS'!F$13+J150*'Pesos GPS'!F$14+K150*'Pesos GPS'!F$15+L150*'Pesos GPS'!F$16+'Pesos GPS'!F$17)</f>
        <v>0</v>
      </c>
      <c r="R150" s="5">
        <f>MAX(0,I150*'Pesos GPS'!G$13+J150*'Pesos GPS'!G$14+K150*'Pesos GPS'!G$15+L150*'Pesos GPS'!G$16+'Pesos GPS'!G$17)</f>
        <v>1.083813293</v>
      </c>
      <c r="S150" s="5">
        <f>MAX(0,I150*'Pesos GPS'!H$13+J150*'Pesos GPS'!H$14+K150*'Pesos GPS'!H$15+L150*'Pesos GPS'!H$16+'Pesos GPS'!H$17)</f>
        <v>0</v>
      </c>
      <c r="T150" s="5">
        <f>MAX(0,I150*'Pesos GPS'!I$13+J150*'Pesos GPS'!I$14+K150*'Pesos GPS'!I$15+L150*'Pesos GPS'!I$16+'Pesos GPS'!I$17)</f>
        <v>0</v>
      </c>
      <c r="U150" s="5">
        <f>M150*'Pesos GPS'!$B$22+N150*'Pesos GPS'!$B$23+O150*'Pesos GPS'!$B$24+P150*'Pesos GPS'!$B$25+Q150*'Pesos GPS'!$B$26+R150*'Pesos GPS'!$B$27+S150*'Pesos GPS'!$B$28+T150*'Pesos GPS'!$B$29+'Pesos GPS'!$B$30</f>
        <v>-4.213061966</v>
      </c>
      <c r="V150" s="5">
        <f t="shared" si="1"/>
        <v>0.01458510496</v>
      </c>
      <c r="W150" s="3">
        <f t="shared" si="2"/>
        <v>0</v>
      </c>
      <c r="X150" s="3">
        <f t="shared" si="3"/>
        <v>1</v>
      </c>
      <c r="Y150" s="9">
        <f t="shared" si="4"/>
        <v>0</v>
      </c>
      <c r="Z150" s="9">
        <v>0.014585104956496718</v>
      </c>
      <c r="AA150" s="3" t="str">
        <f t="shared" si="5"/>
        <v>OK</v>
      </c>
    </row>
    <row r="151" ht="15.75" customHeight="1">
      <c r="A151" s="3">
        <v>150.0</v>
      </c>
      <c r="B151" s="3" t="s">
        <v>15</v>
      </c>
      <c r="C151" s="7">
        <v>40.715627</v>
      </c>
      <c r="D151" s="7">
        <v>-73.9978</v>
      </c>
      <c r="E151" s="3">
        <v>0.0</v>
      </c>
      <c r="F151" s="3" t="s">
        <v>55</v>
      </c>
      <c r="G151" s="5">
        <f>(C151-'Pesos GPS'!$L$4)/'Pesos GPS'!$L$5</f>
        <v>1.001450895</v>
      </c>
      <c r="H151" s="5">
        <f>(D151-'Pesos GPS'!$L$6)/'Pesos GPS'!$L$7</f>
        <v>-0.9999158108</v>
      </c>
      <c r="I151" s="5">
        <f>MAX(0,G151*'Pesos GPS'!B$6+H151*'Pesos GPS'!B$7+'Pesos GPS'!B$8)</f>
        <v>2.668931163</v>
      </c>
      <c r="J151" s="5">
        <f>MAX(0,G151*'Pesos GPS'!C$6+H151*'Pesos GPS'!C$7+'Pesos GPS'!C$8)</f>
        <v>0.3460546073</v>
      </c>
      <c r="K151" s="5">
        <f>MAX(0,G151*'Pesos GPS'!D$6+H151*'Pesos GPS'!D$7+'Pesos GPS'!D$8)</f>
        <v>0.4764397112</v>
      </c>
      <c r="L151" s="5">
        <f>MAX(0,G151*'Pesos GPS'!E$6+H151*'Pesos GPS'!E$7+'Pesos GPS'!E$8)</f>
        <v>1.790270636</v>
      </c>
      <c r="M151" s="5">
        <f>MAX(0,I151*'Pesos GPS'!B$13+J151*'Pesos GPS'!B$14+K151*'Pesos GPS'!B$15+L151*'Pesos GPS'!B$16+'Pesos GPS'!B$17)</f>
        <v>0</v>
      </c>
      <c r="N151" s="5">
        <f>MAX(0,I151*'Pesos GPS'!C$13+J151*'Pesos GPS'!C$14+K151*'Pesos GPS'!C$15+L151*'Pesos GPS'!C$16+'Pesos GPS'!C$17)</f>
        <v>0</v>
      </c>
      <c r="O151" s="5">
        <f>MAX(0,I151*'Pesos GPS'!D$13+J151*'Pesos GPS'!D$14+K151*'Pesos GPS'!D$15+L151*'Pesos GPS'!D$16+'Pesos GPS'!D$17)</f>
        <v>4.335934658</v>
      </c>
      <c r="P151" s="5">
        <f>MAX(0,I151*'Pesos GPS'!E$13+J151*'Pesos GPS'!E$14+K151*'Pesos GPS'!E$15+L151*'Pesos GPS'!E$16+'Pesos GPS'!E$17)</f>
        <v>3.451200494</v>
      </c>
      <c r="Q151" s="5">
        <f>MAX(0,I151*'Pesos GPS'!F$13+J151*'Pesos GPS'!F$14+K151*'Pesos GPS'!F$15+L151*'Pesos GPS'!F$16+'Pesos GPS'!F$17)</f>
        <v>0</v>
      </c>
      <c r="R151" s="5">
        <f>MAX(0,I151*'Pesos GPS'!G$13+J151*'Pesos GPS'!G$14+K151*'Pesos GPS'!G$15+L151*'Pesos GPS'!G$16+'Pesos GPS'!G$17)</f>
        <v>1.080867956</v>
      </c>
      <c r="S151" s="5">
        <f>MAX(0,I151*'Pesos GPS'!H$13+J151*'Pesos GPS'!H$14+K151*'Pesos GPS'!H$15+L151*'Pesos GPS'!H$16+'Pesos GPS'!H$17)</f>
        <v>0</v>
      </c>
      <c r="T151" s="5">
        <f>MAX(0,I151*'Pesos GPS'!I$13+J151*'Pesos GPS'!I$14+K151*'Pesos GPS'!I$15+L151*'Pesos GPS'!I$16+'Pesos GPS'!I$17)</f>
        <v>0</v>
      </c>
      <c r="U151" s="5">
        <f>M151*'Pesos GPS'!$B$22+N151*'Pesos GPS'!$B$23+O151*'Pesos GPS'!$B$24+P151*'Pesos GPS'!$B$25+Q151*'Pesos GPS'!$B$26+R151*'Pesos GPS'!$B$27+S151*'Pesos GPS'!$B$28+T151*'Pesos GPS'!$B$29+'Pesos GPS'!$B$30</f>
        <v>-4.199595585</v>
      </c>
      <c r="V151" s="5">
        <f t="shared" si="1"/>
        <v>0.01477991941</v>
      </c>
      <c r="W151" s="3">
        <f t="shared" si="2"/>
        <v>0</v>
      </c>
      <c r="X151" s="3">
        <f t="shared" si="3"/>
        <v>1</v>
      </c>
      <c r="Y151" s="9">
        <f t="shared" si="4"/>
        <v>0</v>
      </c>
      <c r="Z151" s="9">
        <v>0.014779919411413408</v>
      </c>
      <c r="AA151" s="3" t="str">
        <f t="shared" si="5"/>
        <v>OK</v>
      </c>
    </row>
    <row r="152" ht="15.75" customHeight="1">
      <c r="A152" s="3">
        <v>151.0</v>
      </c>
      <c r="B152" s="3" t="s">
        <v>20</v>
      </c>
      <c r="C152" s="7">
        <v>35.719384</v>
      </c>
      <c r="D152" s="7">
        <v>139.64571</v>
      </c>
      <c r="E152" s="3">
        <v>1.0</v>
      </c>
      <c r="F152" s="3" t="s">
        <v>55</v>
      </c>
      <c r="G152" s="5">
        <f>(C152-'Pesos GPS'!$L$4)/'Pesos GPS'!$L$5</f>
        <v>-0.9830723783</v>
      </c>
      <c r="H152" s="5">
        <f>(D152-'Pesos GPS'!$L$6)/'Pesos GPS'!$L$7</f>
        <v>0.9999729056</v>
      </c>
      <c r="I152" s="5">
        <f>MAX(0,G152*'Pesos GPS'!B$6+H152*'Pesos GPS'!B$7+'Pesos GPS'!B$8)</f>
        <v>0</v>
      </c>
      <c r="J152" s="5">
        <f>MAX(0,G152*'Pesos GPS'!C$6+H152*'Pesos GPS'!C$7+'Pesos GPS'!C$8)</f>
        <v>0</v>
      </c>
      <c r="K152" s="5">
        <f>MAX(0,G152*'Pesos GPS'!D$6+H152*'Pesos GPS'!D$7+'Pesos GPS'!D$8)</f>
        <v>0</v>
      </c>
      <c r="L152" s="5">
        <f>MAX(0,G152*'Pesos GPS'!E$6+H152*'Pesos GPS'!E$7+'Pesos GPS'!E$8)</f>
        <v>0</v>
      </c>
      <c r="M152" s="5">
        <f>MAX(0,I152*'Pesos GPS'!B$13+J152*'Pesos GPS'!B$14+K152*'Pesos GPS'!B$15+L152*'Pesos GPS'!B$16+'Pesos GPS'!B$17)</f>
        <v>0</v>
      </c>
      <c r="N152" s="5">
        <f>MAX(0,I152*'Pesos GPS'!C$13+J152*'Pesos GPS'!C$14+K152*'Pesos GPS'!C$15+L152*'Pesos GPS'!C$16+'Pesos GPS'!C$17)</f>
        <v>0</v>
      </c>
      <c r="O152" s="5">
        <f>MAX(0,I152*'Pesos GPS'!D$13+J152*'Pesos GPS'!D$14+K152*'Pesos GPS'!D$15+L152*'Pesos GPS'!D$16+'Pesos GPS'!D$17)</f>
        <v>0</v>
      </c>
      <c r="P152" s="5">
        <f>MAX(0,I152*'Pesos GPS'!E$13+J152*'Pesos GPS'!E$14+K152*'Pesos GPS'!E$15+L152*'Pesos GPS'!E$16+'Pesos GPS'!E$17)</f>
        <v>0</v>
      </c>
      <c r="Q152" s="5">
        <f>MAX(0,I152*'Pesos GPS'!F$13+J152*'Pesos GPS'!F$14+K152*'Pesos GPS'!F$15+L152*'Pesos GPS'!F$16+'Pesos GPS'!F$17)</f>
        <v>0</v>
      </c>
      <c r="R152" s="5">
        <f>MAX(0,I152*'Pesos GPS'!G$13+J152*'Pesos GPS'!G$14+K152*'Pesos GPS'!G$15+L152*'Pesos GPS'!G$16+'Pesos GPS'!G$17)</f>
        <v>0</v>
      </c>
      <c r="S152" s="5">
        <f>MAX(0,I152*'Pesos GPS'!H$13+J152*'Pesos GPS'!H$14+K152*'Pesos GPS'!H$15+L152*'Pesos GPS'!H$16+'Pesos GPS'!H$17)</f>
        <v>0</v>
      </c>
      <c r="T152" s="5">
        <f>MAX(0,I152*'Pesos GPS'!I$13+J152*'Pesos GPS'!I$14+K152*'Pesos GPS'!I$15+L152*'Pesos GPS'!I$16+'Pesos GPS'!I$17)</f>
        <v>0</v>
      </c>
      <c r="U152" s="5">
        <f>M152*'Pesos GPS'!$B$22+N152*'Pesos GPS'!$B$23+O152*'Pesos GPS'!$B$24+P152*'Pesos GPS'!$B$25+Q152*'Pesos GPS'!$B$26+R152*'Pesos GPS'!$B$27+S152*'Pesos GPS'!$B$28+T152*'Pesos GPS'!$B$29+'Pesos GPS'!$B$30</f>
        <v>2.37807146</v>
      </c>
      <c r="V152" s="5">
        <f t="shared" si="1"/>
        <v>0.9151397857</v>
      </c>
      <c r="W152" s="3">
        <f t="shared" si="2"/>
        <v>1</v>
      </c>
      <c r="X152" s="3">
        <f t="shared" si="3"/>
        <v>1</v>
      </c>
      <c r="Y152" s="9">
        <f t="shared" si="4"/>
        <v>0</v>
      </c>
      <c r="Z152" s="9">
        <v>0.9151397857284129</v>
      </c>
      <c r="AA152" s="3" t="str">
        <f t="shared" si="5"/>
        <v>OK</v>
      </c>
    </row>
    <row r="153" ht="15.75" customHeight="1">
      <c r="A153" s="3">
        <v>152.0</v>
      </c>
      <c r="B153" s="3" t="s">
        <v>20</v>
      </c>
      <c r="C153" s="7">
        <v>35.637853</v>
      </c>
      <c r="D153" s="7">
        <v>139.662507</v>
      </c>
      <c r="E153" s="3">
        <v>1.0</v>
      </c>
      <c r="F153" s="3" t="s">
        <v>55</v>
      </c>
      <c r="G153" s="5">
        <f>(C153-'Pesos GPS'!$L$4)/'Pesos GPS'!$L$5</f>
        <v>-1.015456745</v>
      </c>
      <c r="H153" s="5">
        <f>(D153-'Pesos GPS'!$L$6)/'Pesos GPS'!$L$7</f>
        <v>1.00013014</v>
      </c>
      <c r="I153" s="5">
        <f>MAX(0,G153*'Pesos GPS'!B$6+H153*'Pesos GPS'!B$7+'Pesos GPS'!B$8)</f>
        <v>0</v>
      </c>
      <c r="J153" s="5">
        <f>MAX(0,G153*'Pesos GPS'!C$6+H153*'Pesos GPS'!C$7+'Pesos GPS'!C$8)</f>
        <v>0</v>
      </c>
      <c r="K153" s="5">
        <f>MAX(0,G153*'Pesos GPS'!D$6+H153*'Pesos GPS'!D$7+'Pesos GPS'!D$8)</f>
        <v>0</v>
      </c>
      <c r="L153" s="5">
        <f>MAX(0,G153*'Pesos GPS'!E$6+H153*'Pesos GPS'!E$7+'Pesos GPS'!E$8)</f>
        <v>0</v>
      </c>
      <c r="M153" s="5">
        <f>MAX(0,I153*'Pesos GPS'!B$13+J153*'Pesos GPS'!B$14+K153*'Pesos GPS'!B$15+L153*'Pesos GPS'!B$16+'Pesos GPS'!B$17)</f>
        <v>0</v>
      </c>
      <c r="N153" s="5">
        <f>MAX(0,I153*'Pesos GPS'!C$13+J153*'Pesos GPS'!C$14+K153*'Pesos GPS'!C$15+L153*'Pesos GPS'!C$16+'Pesos GPS'!C$17)</f>
        <v>0</v>
      </c>
      <c r="O153" s="5">
        <f>MAX(0,I153*'Pesos GPS'!D$13+J153*'Pesos GPS'!D$14+K153*'Pesos GPS'!D$15+L153*'Pesos GPS'!D$16+'Pesos GPS'!D$17)</f>
        <v>0</v>
      </c>
      <c r="P153" s="5">
        <f>MAX(0,I153*'Pesos GPS'!E$13+J153*'Pesos GPS'!E$14+K153*'Pesos GPS'!E$15+L153*'Pesos GPS'!E$16+'Pesos GPS'!E$17)</f>
        <v>0</v>
      </c>
      <c r="Q153" s="5">
        <f>MAX(0,I153*'Pesos GPS'!F$13+J153*'Pesos GPS'!F$14+K153*'Pesos GPS'!F$15+L153*'Pesos GPS'!F$16+'Pesos GPS'!F$17)</f>
        <v>0</v>
      </c>
      <c r="R153" s="5">
        <f>MAX(0,I153*'Pesos GPS'!G$13+J153*'Pesos GPS'!G$14+K153*'Pesos GPS'!G$15+L153*'Pesos GPS'!G$16+'Pesos GPS'!G$17)</f>
        <v>0</v>
      </c>
      <c r="S153" s="5">
        <f>MAX(0,I153*'Pesos GPS'!H$13+J153*'Pesos GPS'!H$14+K153*'Pesos GPS'!H$15+L153*'Pesos GPS'!H$16+'Pesos GPS'!H$17)</f>
        <v>0</v>
      </c>
      <c r="T153" s="5">
        <f>MAX(0,I153*'Pesos GPS'!I$13+J153*'Pesos GPS'!I$14+K153*'Pesos GPS'!I$15+L153*'Pesos GPS'!I$16+'Pesos GPS'!I$17)</f>
        <v>0</v>
      </c>
      <c r="U153" s="5">
        <f>M153*'Pesos GPS'!$B$22+N153*'Pesos GPS'!$B$23+O153*'Pesos GPS'!$B$24+P153*'Pesos GPS'!$B$25+Q153*'Pesos GPS'!$B$26+R153*'Pesos GPS'!$B$27+S153*'Pesos GPS'!$B$28+T153*'Pesos GPS'!$B$29+'Pesos GPS'!$B$30</f>
        <v>2.37807146</v>
      </c>
      <c r="V153" s="5">
        <f t="shared" si="1"/>
        <v>0.9151397857</v>
      </c>
      <c r="W153" s="3">
        <f t="shared" si="2"/>
        <v>1</v>
      </c>
      <c r="X153" s="3">
        <f t="shared" si="3"/>
        <v>1</v>
      </c>
      <c r="Y153" s="9">
        <f t="shared" si="4"/>
        <v>0</v>
      </c>
      <c r="Z153" s="9">
        <v>0.9151397857284129</v>
      </c>
      <c r="AA153" s="3" t="str">
        <f t="shared" si="5"/>
        <v>OK</v>
      </c>
    </row>
    <row r="154" ht="15.75" customHeight="1">
      <c r="A154" s="3">
        <v>153.0</v>
      </c>
      <c r="B154" s="3" t="s">
        <v>20</v>
      </c>
      <c r="C154" s="7">
        <v>35.697796</v>
      </c>
      <c r="D154" s="7">
        <v>139.718585</v>
      </c>
      <c r="E154" s="3">
        <v>1.0</v>
      </c>
      <c r="F154" s="3" t="s">
        <v>55</v>
      </c>
      <c r="G154" s="5">
        <f>(C154-'Pesos GPS'!$L$4)/'Pesos GPS'!$L$5</f>
        <v>-0.9916471991</v>
      </c>
      <c r="H154" s="5">
        <f>(D154-'Pesos GPS'!$L$6)/'Pesos GPS'!$L$7</f>
        <v>1.000655079</v>
      </c>
      <c r="I154" s="5">
        <f>MAX(0,G154*'Pesos GPS'!B$6+H154*'Pesos GPS'!B$7+'Pesos GPS'!B$8)</f>
        <v>0</v>
      </c>
      <c r="J154" s="5">
        <f>MAX(0,G154*'Pesos GPS'!C$6+H154*'Pesos GPS'!C$7+'Pesos GPS'!C$8)</f>
        <v>0</v>
      </c>
      <c r="K154" s="5">
        <f>MAX(0,G154*'Pesos GPS'!D$6+H154*'Pesos GPS'!D$7+'Pesos GPS'!D$8)</f>
        <v>0</v>
      </c>
      <c r="L154" s="5">
        <f>MAX(0,G154*'Pesos GPS'!E$6+H154*'Pesos GPS'!E$7+'Pesos GPS'!E$8)</f>
        <v>0</v>
      </c>
      <c r="M154" s="5">
        <f>MAX(0,I154*'Pesos GPS'!B$13+J154*'Pesos GPS'!B$14+K154*'Pesos GPS'!B$15+L154*'Pesos GPS'!B$16+'Pesos GPS'!B$17)</f>
        <v>0</v>
      </c>
      <c r="N154" s="5">
        <f>MAX(0,I154*'Pesos GPS'!C$13+J154*'Pesos GPS'!C$14+K154*'Pesos GPS'!C$15+L154*'Pesos GPS'!C$16+'Pesos GPS'!C$17)</f>
        <v>0</v>
      </c>
      <c r="O154" s="5">
        <f>MAX(0,I154*'Pesos GPS'!D$13+J154*'Pesos GPS'!D$14+K154*'Pesos GPS'!D$15+L154*'Pesos GPS'!D$16+'Pesos GPS'!D$17)</f>
        <v>0</v>
      </c>
      <c r="P154" s="5">
        <f>MAX(0,I154*'Pesos GPS'!E$13+J154*'Pesos GPS'!E$14+K154*'Pesos GPS'!E$15+L154*'Pesos GPS'!E$16+'Pesos GPS'!E$17)</f>
        <v>0</v>
      </c>
      <c r="Q154" s="5">
        <f>MAX(0,I154*'Pesos GPS'!F$13+J154*'Pesos GPS'!F$14+K154*'Pesos GPS'!F$15+L154*'Pesos GPS'!F$16+'Pesos GPS'!F$17)</f>
        <v>0</v>
      </c>
      <c r="R154" s="5">
        <f>MAX(0,I154*'Pesos GPS'!G$13+J154*'Pesos GPS'!G$14+K154*'Pesos GPS'!G$15+L154*'Pesos GPS'!G$16+'Pesos GPS'!G$17)</f>
        <v>0</v>
      </c>
      <c r="S154" s="5">
        <f>MAX(0,I154*'Pesos GPS'!H$13+J154*'Pesos GPS'!H$14+K154*'Pesos GPS'!H$15+L154*'Pesos GPS'!H$16+'Pesos GPS'!H$17)</f>
        <v>0</v>
      </c>
      <c r="T154" s="5">
        <f>MAX(0,I154*'Pesos GPS'!I$13+J154*'Pesos GPS'!I$14+K154*'Pesos GPS'!I$15+L154*'Pesos GPS'!I$16+'Pesos GPS'!I$17)</f>
        <v>0</v>
      </c>
      <c r="U154" s="5">
        <f>M154*'Pesos GPS'!$B$22+N154*'Pesos GPS'!$B$23+O154*'Pesos GPS'!$B$24+P154*'Pesos GPS'!$B$25+Q154*'Pesos GPS'!$B$26+R154*'Pesos GPS'!$B$27+S154*'Pesos GPS'!$B$28+T154*'Pesos GPS'!$B$29+'Pesos GPS'!$B$30</f>
        <v>2.37807146</v>
      </c>
      <c r="V154" s="5">
        <f t="shared" si="1"/>
        <v>0.9151397857</v>
      </c>
      <c r="W154" s="3">
        <f t="shared" si="2"/>
        <v>1</v>
      </c>
      <c r="X154" s="3">
        <f t="shared" si="3"/>
        <v>1</v>
      </c>
      <c r="Y154" s="9">
        <f t="shared" si="4"/>
        <v>0</v>
      </c>
      <c r="Z154" s="9">
        <v>0.9151397857284129</v>
      </c>
      <c r="AA154" s="3" t="str">
        <f t="shared" si="5"/>
        <v>OK</v>
      </c>
    </row>
    <row r="155" ht="15.75" customHeight="1">
      <c r="A155" s="3">
        <v>154.0</v>
      </c>
      <c r="B155" s="3" t="s">
        <v>20</v>
      </c>
      <c r="C155" s="7">
        <v>35.667987</v>
      </c>
      <c r="D155" s="7">
        <v>139.722994</v>
      </c>
      <c r="E155" s="3">
        <v>1.0</v>
      </c>
      <c r="F155" s="3" t="s">
        <v>55</v>
      </c>
      <c r="G155" s="5">
        <f>(C155-'Pesos GPS'!$L$4)/'Pesos GPS'!$L$5</f>
        <v>-1.003487427</v>
      </c>
      <c r="H155" s="5">
        <f>(D155-'Pesos GPS'!$L$6)/'Pesos GPS'!$L$7</f>
        <v>1.000696351</v>
      </c>
      <c r="I155" s="5">
        <f>MAX(0,G155*'Pesos GPS'!B$6+H155*'Pesos GPS'!B$7+'Pesos GPS'!B$8)</f>
        <v>0</v>
      </c>
      <c r="J155" s="5">
        <f>MAX(0,G155*'Pesos GPS'!C$6+H155*'Pesos GPS'!C$7+'Pesos GPS'!C$8)</f>
        <v>0</v>
      </c>
      <c r="K155" s="5">
        <f>MAX(0,G155*'Pesos GPS'!D$6+H155*'Pesos GPS'!D$7+'Pesos GPS'!D$8)</f>
        <v>0</v>
      </c>
      <c r="L155" s="5">
        <f>MAX(0,G155*'Pesos GPS'!E$6+H155*'Pesos GPS'!E$7+'Pesos GPS'!E$8)</f>
        <v>0</v>
      </c>
      <c r="M155" s="5">
        <f>MAX(0,I155*'Pesos GPS'!B$13+J155*'Pesos GPS'!B$14+K155*'Pesos GPS'!B$15+L155*'Pesos GPS'!B$16+'Pesos GPS'!B$17)</f>
        <v>0</v>
      </c>
      <c r="N155" s="5">
        <f>MAX(0,I155*'Pesos GPS'!C$13+J155*'Pesos GPS'!C$14+K155*'Pesos GPS'!C$15+L155*'Pesos GPS'!C$16+'Pesos GPS'!C$17)</f>
        <v>0</v>
      </c>
      <c r="O155" s="5">
        <f>MAX(0,I155*'Pesos GPS'!D$13+J155*'Pesos GPS'!D$14+K155*'Pesos GPS'!D$15+L155*'Pesos GPS'!D$16+'Pesos GPS'!D$17)</f>
        <v>0</v>
      </c>
      <c r="P155" s="5">
        <f>MAX(0,I155*'Pesos GPS'!E$13+J155*'Pesos GPS'!E$14+K155*'Pesos GPS'!E$15+L155*'Pesos GPS'!E$16+'Pesos GPS'!E$17)</f>
        <v>0</v>
      </c>
      <c r="Q155" s="5">
        <f>MAX(0,I155*'Pesos GPS'!F$13+J155*'Pesos GPS'!F$14+K155*'Pesos GPS'!F$15+L155*'Pesos GPS'!F$16+'Pesos GPS'!F$17)</f>
        <v>0</v>
      </c>
      <c r="R155" s="5">
        <f>MAX(0,I155*'Pesos GPS'!G$13+J155*'Pesos GPS'!G$14+K155*'Pesos GPS'!G$15+L155*'Pesos GPS'!G$16+'Pesos GPS'!G$17)</f>
        <v>0</v>
      </c>
      <c r="S155" s="5">
        <f>MAX(0,I155*'Pesos GPS'!H$13+J155*'Pesos GPS'!H$14+K155*'Pesos GPS'!H$15+L155*'Pesos GPS'!H$16+'Pesos GPS'!H$17)</f>
        <v>0</v>
      </c>
      <c r="T155" s="5">
        <f>MAX(0,I155*'Pesos GPS'!I$13+J155*'Pesos GPS'!I$14+K155*'Pesos GPS'!I$15+L155*'Pesos GPS'!I$16+'Pesos GPS'!I$17)</f>
        <v>0</v>
      </c>
      <c r="U155" s="5">
        <f>M155*'Pesos GPS'!$B$22+N155*'Pesos GPS'!$B$23+O155*'Pesos GPS'!$B$24+P155*'Pesos GPS'!$B$25+Q155*'Pesos GPS'!$B$26+R155*'Pesos GPS'!$B$27+S155*'Pesos GPS'!$B$28+T155*'Pesos GPS'!$B$29+'Pesos GPS'!$B$30</f>
        <v>2.37807146</v>
      </c>
      <c r="V155" s="5">
        <f t="shared" si="1"/>
        <v>0.9151397857</v>
      </c>
      <c r="W155" s="3">
        <f t="shared" si="2"/>
        <v>1</v>
      </c>
      <c r="X155" s="3">
        <f t="shared" si="3"/>
        <v>1</v>
      </c>
      <c r="Y155" s="9">
        <f t="shared" si="4"/>
        <v>0</v>
      </c>
      <c r="Z155" s="9">
        <v>0.9151397857284129</v>
      </c>
      <c r="AA155" s="3" t="str">
        <f t="shared" si="5"/>
        <v>OK</v>
      </c>
    </row>
    <row r="156" ht="15.75" customHeight="1">
      <c r="A156" s="3">
        <v>155.0</v>
      </c>
      <c r="B156" s="3" t="s">
        <v>20</v>
      </c>
      <c r="C156" s="7">
        <v>35.674667</v>
      </c>
      <c r="D156" s="7">
        <v>139.652728</v>
      </c>
      <c r="E156" s="3">
        <v>1.0</v>
      </c>
      <c r="F156" s="3" t="s">
        <v>55</v>
      </c>
      <c r="G156" s="5">
        <f>(C156-'Pesos GPS'!$L$4)/'Pesos GPS'!$L$5</f>
        <v>-1.00083411</v>
      </c>
      <c r="H156" s="5">
        <f>(D156-'Pesos GPS'!$L$6)/'Pesos GPS'!$L$7</f>
        <v>1.0000386</v>
      </c>
      <c r="I156" s="5">
        <f>MAX(0,G156*'Pesos GPS'!B$6+H156*'Pesos GPS'!B$7+'Pesos GPS'!B$8)</f>
        <v>0</v>
      </c>
      <c r="J156" s="5">
        <f>MAX(0,G156*'Pesos GPS'!C$6+H156*'Pesos GPS'!C$7+'Pesos GPS'!C$8)</f>
        <v>0</v>
      </c>
      <c r="K156" s="5">
        <f>MAX(0,G156*'Pesos GPS'!D$6+H156*'Pesos GPS'!D$7+'Pesos GPS'!D$8)</f>
        <v>0</v>
      </c>
      <c r="L156" s="5">
        <f>MAX(0,G156*'Pesos GPS'!E$6+H156*'Pesos GPS'!E$7+'Pesos GPS'!E$8)</f>
        <v>0</v>
      </c>
      <c r="M156" s="5">
        <f>MAX(0,I156*'Pesos GPS'!B$13+J156*'Pesos GPS'!B$14+K156*'Pesos GPS'!B$15+L156*'Pesos GPS'!B$16+'Pesos GPS'!B$17)</f>
        <v>0</v>
      </c>
      <c r="N156" s="5">
        <f>MAX(0,I156*'Pesos GPS'!C$13+J156*'Pesos GPS'!C$14+K156*'Pesos GPS'!C$15+L156*'Pesos GPS'!C$16+'Pesos GPS'!C$17)</f>
        <v>0</v>
      </c>
      <c r="O156" s="5">
        <f>MAX(0,I156*'Pesos GPS'!D$13+J156*'Pesos GPS'!D$14+K156*'Pesos GPS'!D$15+L156*'Pesos GPS'!D$16+'Pesos GPS'!D$17)</f>
        <v>0</v>
      </c>
      <c r="P156" s="5">
        <f>MAX(0,I156*'Pesos GPS'!E$13+J156*'Pesos GPS'!E$14+K156*'Pesos GPS'!E$15+L156*'Pesos GPS'!E$16+'Pesos GPS'!E$17)</f>
        <v>0</v>
      </c>
      <c r="Q156" s="5">
        <f>MAX(0,I156*'Pesos GPS'!F$13+J156*'Pesos GPS'!F$14+K156*'Pesos GPS'!F$15+L156*'Pesos GPS'!F$16+'Pesos GPS'!F$17)</f>
        <v>0</v>
      </c>
      <c r="R156" s="5">
        <f>MAX(0,I156*'Pesos GPS'!G$13+J156*'Pesos GPS'!G$14+K156*'Pesos GPS'!G$15+L156*'Pesos GPS'!G$16+'Pesos GPS'!G$17)</f>
        <v>0</v>
      </c>
      <c r="S156" s="5">
        <f>MAX(0,I156*'Pesos GPS'!H$13+J156*'Pesos GPS'!H$14+K156*'Pesos GPS'!H$15+L156*'Pesos GPS'!H$16+'Pesos GPS'!H$17)</f>
        <v>0</v>
      </c>
      <c r="T156" s="5">
        <f>MAX(0,I156*'Pesos GPS'!I$13+J156*'Pesos GPS'!I$14+K156*'Pesos GPS'!I$15+L156*'Pesos GPS'!I$16+'Pesos GPS'!I$17)</f>
        <v>0</v>
      </c>
      <c r="U156" s="5">
        <f>M156*'Pesos GPS'!$B$22+N156*'Pesos GPS'!$B$23+O156*'Pesos GPS'!$B$24+P156*'Pesos GPS'!$B$25+Q156*'Pesos GPS'!$B$26+R156*'Pesos GPS'!$B$27+S156*'Pesos GPS'!$B$28+T156*'Pesos GPS'!$B$29+'Pesos GPS'!$B$30</f>
        <v>2.37807146</v>
      </c>
      <c r="V156" s="5">
        <f t="shared" si="1"/>
        <v>0.9151397857</v>
      </c>
      <c r="W156" s="3">
        <f t="shared" si="2"/>
        <v>1</v>
      </c>
      <c r="X156" s="3">
        <f t="shared" si="3"/>
        <v>1</v>
      </c>
      <c r="Y156" s="9">
        <f t="shared" si="4"/>
        <v>0</v>
      </c>
      <c r="Z156" s="9">
        <v>0.9151397857284129</v>
      </c>
      <c r="AA156" s="3" t="str">
        <f t="shared" si="5"/>
        <v>OK</v>
      </c>
    </row>
    <row r="157" ht="15.75" customHeight="1">
      <c r="A157" s="3">
        <v>156.0</v>
      </c>
      <c r="B157" s="3" t="s">
        <v>20</v>
      </c>
      <c r="C157" s="7">
        <v>35.649878</v>
      </c>
      <c r="D157" s="7">
        <v>139.655907</v>
      </c>
      <c r="E157" s="3">
        <v>1.0</v>
      </c>
      <c r="F157" s="3" t="s">
        <v>55</v>
      </c>
      <c r="G157" s="5">
        <f>(C157-'Pesos GPS'!$L$4)/'Pesos GPS'!$L$5</f>
        <v>-1.010680378</v>
      </c>
      <c r="H157" s="5">
        <f>(D157-'Pesos GPS'!$L$6)/'Pesos GPS'!$L$7</f>
        <v>1.000068358</v>
      </c>
      <c r="I157" s="5">
        <f>MAX(0,G157*'Pesos GPS'!B$6+H157*'Pesos GPS'!B$7+'Pesos GPS'!B$8)</f>
        <v>0</v>
      </c>
      <c r="J157" s="5">
        <f>MAX(0,G157*'Pesos GPS'!C$6+H157*'Pesos GPS'!C$7+'Pesos GPS'!C$8)</f>
        <v>0</v>
      </c>
      <c r="K157" s="5">
        <f>MAX(0,G157*'Pesos GPS'!D$6+H157*'Pesos GPS'!D$7+'Pesos GPS'!D$8)</f>
        <v>0</v>
      </c>
      <c r="L157" s="5">
        <f>MAX(0,G157*'Pesos GPS'!E$6+H157*'Pesos GPS'!E$7+'Pesos GPS'!E$8)</f>
        <v>0</v>
      </c>
      <c r="M157" s="5">
        <f>MAX(0,I157*'Pesos GPS'!B$13+J157*'Pesos GPS'!B$14+K157*'Pesos GPS'!B$15+L157*'Pesos GPS'!B$16+'Pesos GPS'!B$17)</f>
        <v>0</v>
      </c>
      <c r="N157" s="5">
        <f>MAX(0,I157*'Pesos GPS'!C$13+J157*'Pesos GPS'!C$14+K157*'Pesos GPS'!C$15+L157*'Pesos GPS'!C$16+'Pesos GPS'!C$17)</f>
        <v>0</v>
      </c>
      <c r="O157" s="5">
        <f>MAX(0,I157*'Pesos GPS'!D$13+J157*'Pesos GPS'!D$14+K157*'Pesos GPS'!D$15+L157*'Pesos GPS'!D$16+'Pesos GPS'!D$17)</f>
        <v>0</v>
      </c>
      <c r="P157" s="5">
        <f>MAX(0,I157*'Pesos GPS'!E$13+J157*'Pesos GPS'!E$14+K157*'Pesos GPS'!E$15+L157*'Pesos GPS'!E$16+'Pesos GPS'!E$17)</f>
        <v>0</v>
      </c>
      <c r="Q157" s="5">
        <f>MAX(0,I157*'Pesos GPS'!F$13+J157*'Pesos GPS'!F$14+K157*'Pesos GPS'!F$15+L157*'Pesos GPS'!F$16+'Pesos GPS'!F$17)</f>
        <v>0</v>
      </c>
      <c r="R157" s="5">
        <f>MAX(0,I157*'Pesos GPS'!G$13+J157*'Pesos GPS'!G$14+K157*'Pesos GPS'!G$15+L157*'Pesos GPS'!G$16+'Pesos GPS'!G$17)</f>
        <v>0</v>
      </c>
      <c r="S157" s="5">
        <f>MAX(0,I157*'Pesos GPS'!H$13+J157*'Pesos GPS'!H$14+K157*'Pesos GPS'!H$15+L157*'Pesos GPS'!H$16+'Pesos GPS'!H$17)</f>
        <v>0</v>
      </c>
      <c r="T157" s="5">
        <f>MAX(0,I157*'Pesos GPS'!I$13+J157*'Pesos GPS'!I$14+K157*'Pesos GPS'!I$15+L157*'Pesos GPS'!I$16+'Pesos GPS'!I$17)</f>
        <v>0</v>
      </c>
      <c r="U157" s="5">
        <f>M157*'Pesos GPS'!$B$22+N157*'Pesos GPS'!$B$23+O157*'Pesos GPS'!$B$24+P157*'Pesos GPS'!$B$25+Q157*'Pesos GPS'!$B$26+R157*'Pesos GPS'!$B$27+S157*'Pesos GPS'!$B$28+T157*'Pesos GPS'!$B$29+'Pesos GPS'!$B$30</f>
        <v>2.37807146</v>
      </c>
      <c r="V157" s="5">
        <f t="shared" si="1"/>
        <v>0.9151397857</v>
      </c>
      <c r="W157" s="3">
        <f t="shared" si="2"/>
        <v>1</v>
      </c>
      <c r="X157" s="3">
        <f t="shared" si="3"/>
        <v>1</v>
      </c>
      <c r="Y157" s="9">
        <f t="shared" si="4"/>
        <v>0</v>
      </c>
      <c r="Z157" s="9">
        <v>0.9151397857284129</v>
      </c>
      <c r="AA157" s="3" t="str">
        <f t="shared" si="5"/>
        <v>OK</v>
      </c>
    </row>
    <row r="158" ht="15.75" customHeight="1">
      <c r="A158" s="3">
        <v>157.0</v>
      </c>
      <c r="B158" s="3" t="s">
        <v>20</v>
      </c>
      <c r="C158" s="7">
        <v>35.667839</v>
      </c>
      <c r="D158" s="7">
        <v>139.687968</v>
      </c>
      <c r="E158" s="3">
        <v>1.0</v>
      </c>
      <c r="F158" s="3" t="s">
        <v>55</v>
      </c>
      <c r="G158" s="5">
        <f>(C158-'Pesos GPS'!$L$4)/'Pesos GPS'!$L$5</f>
        <v>-1.003546213</v>
      </c>
      <c r="H158" s="5">
        <f>(D158-'Pesos GPS'!$L$6)/'Pesos GPS'!$L$7</f>
        <v>1.000368477</v>
      </c>
      <c r="I158" s="5">
        <f>MAX(0,G158*'Pesos GPS'!B$6+H158*'Pesos GPS'!B$7+'Pesos GPS'!B$8)</f>
        <v>0</v>
      </c>
      <c r="J158" s="5">
        <f>MAX(0,G158*'Pesos GPS'!C$6+H158*'Pesos GPS'!C$7+'Pesos GPS'!C$8)</f>
        <v>0</v>
      </c>
      <c r="K158" s="5">
        <f>MAX(0,G158*'Pesos GPS'!D$6+H158*'Pesos GPS'!D$7+'Pesos GPS'!D$8)</f>
        <v>0</v>
      </c>
      <c r="L158" s="5">
        <f>MAX(0,G158*'Pesos GPS'!E$6+H158*'Pesos GPS'!E$7+'Pesos GPS'!E$8)</f>
        <v>0</v>
      </c>
      <c r="M158" s="5">
        <f>MAX(0,I158*'Pesos GPS'!B$13+J158*'Pesos GPS'!B$14+K158*'Pesos GPS'!B$15+L158*'Pesos GPS'!B$16+'Pesos GPS'!B$17)</f>
        <v>0</v>
      </c>
      <c r="N158" s="5">
        <f>MAX(0,I158*'Pesos GPS'!C$13+J158*'Pesos GPS'!C$14+K158*'Pesos GPS'!C$15+L158*'Pesos GPS'!C$16+'Pesos GPS'!C$17)</f>
        <v>0</v>
      </c>
      <c r="O158" s="5">
        <f>MAX(0,I158*'Pesos GPS'!D$13+J158*'Pesos GPS'!D$14+K158*'Pesos GPS'!D$15+L158*'Pesos GPS'!D$16+'Pesos GPS'!D$17)</f>
        <v>0</v>
      </c>
      <c r="P158" s="5">
        <f>MAX(0,I158*'Pesos GPS'!E$13+J158*'Pesos GPS'!E$14+K158*'Pesos GPS'!E$15+L158*'Pesos GPS'!E$16+'Pesos GPS'!E$17)</f>
        <v>0</v>
      </c>
      <c r="Q158" s="5">
        <f>MAX(0,I158*'Pesos GPS'!F$13+J158*'Pesos GPS'!F$14+K158*'Pesos GPS'!F$15+L158*'Pesos GPS'!F$16+'Pesos GPS'!F$17)</f>
        <v>0</v>
      </c>
      <c r="R158" s="5">
        <f>MAX(0,I158*'Pesos GPS'!G$13+J158*'Pesos GPS'!G$14+K158*'Pesos GPS'!G$15+L158*'Pesos GPS'!G$16+'Pesos GPS'!G$17)</f>
        <v>0</v>
      </c>
      <c r="S158" s="5">
        <f>MAX(0,I158*'Pesos GPS'!H$13+J158*'Pesos GPS'!H$14+K158*'Pesos GPS'!H$15+L158*'Pesos GPS'!H$16+'Pesos GPS'!H$17)</f>
        <v>0</v>
      </c>
      <c r="T158" s="5">
        <f>MAX(0,I158*'Pesos GPS'!I$13+J158*'Pesos GPS'!I$14+K158*'Pesos GPS'!I$15+L158*'Pesos GPS'!I$16+'Pesos GPS'!I$17)</f>
        <v>0</v>
      </c>
      <c r="U158" s="5">
        <f>M158*'Pesos GPS'!$B$22+N158*'Pesos GPS'!$B$23+O158*'Pesos GPS'!$B$24+P158*'Pesos GPS'!$B$25+Q158*'Pesos GPS'!$B$26+R158*'Pesos GPS'!$B$27+S158*'Pesos GPS'!$B$28+T158*'Pesos GPS'!$B$29+'Pesos GPS'!$B$30</f>
        <v>2.37807146</v>
      </c>
      <c r="V158" s="5">
        <f t="shared" si="1"/>
        <v>0.9151397857</v>
      </c>
      <c r="W158" s="3">
        <f t="shared" si="2"/>
        <v>1</v>
      </c>
      <c r="X158" s="3">
        <f t="shared" si="3"/>
        <v>1</v>
      </c>
      <c r="Y158" s="9">
        <f t="shared" si="4"/>
        <v>0</v>
      </c>
      <c r="Z158" s="9">
        <v>0.9151397857284129</v>
      </c>
      <c r="AA158" s="3" t="str">
        <f t="shared" si="5"/>
        <v>OK</v>
      </c>
    </row>
    <row r="159" ht="15.75" customHeight="1">
      <c r="A159" s="3">
        <v>158.0</v>
      </c>
      <c r="B159" s="3" t="s">
        <v>20</v>
      </c>
      <c r="C159" s="7">
        <v>35.708701</v>
      </c>
      <c r="D159" s="7">
        <v>139.620702</v>
      </c>
      <c r="E159" s="3">
        <v>1.0</v>
      </c>
      <c r="F159" s="3" t="s">
        <v>55</v>
      </c>
      <c r="G159" s="5">
        <f>(C159-'Pesos GPS'!$L$4)/'Pesos GPS'!$L$5</f>
        <v>-0.9873156992</v>
      </c>
      <c r="H159" s="5">
        <f>(D159-'Pesos GPS'!$L$6)/'Pesos GPS'!$L$7</f>
        <v>0.999738809</v>
      </c>
      <c r="I159" s="5">
        <f>MAX(0,G159*'Pesos GPS'!B$6+H159*'Pesos GPS'!B$7+'Pesos GPS'!B$8)</f>
        <v>0</v>
      </c>
      <c r="J159" s="5">
        <f>MAX(0,G159*'Pesos GPS'!C$6+H159*'Pesos GPS'!C$7+'Pesos GPS'!C$8)</f>
        <v>0</v>
      </c>
      <c r="K159" s="5">
        <f>MAX(0,G159*'Pesos GPS'!D$6+H159*'Pesos GPS'!D$7+'Pesos GPS'!D$8)</f>
        <v>0</v>
      </c>
      <c r="L159" s="5">
        <f>MAX(0,G159*'Pesos GPS'!E$6+H159*'Pesos GPS'!E$7+'Pesos GPS'!E$8)</f>
        <v>0</v>
      </c>
      <c r="M159" s="5">
        <f>MAX(0,I159*'Pesos GPS'!B$13+J159*'Pesos GPS'!B$14+K159*'Pesos GPS'!B$15+L159*'Pesos GPS'!B$16+'Pesos GPS'!B$17)</f>
        <v>0</v>
      </c>
      <c r="N159" s="5">
        <f>MAX(0,I159*'Pesos GPS'!C$13+J159*'Pesos GPS'!C$14+K159*'Pesos GPS'!C$15+L159*'Pesos GPS'!C$16+'Pesos GPS'!C$17)</f>
        <v>0</v>
      </c>
      <c r="O159" s="5">
        <f>MAX(0,I159*'Pesos GPS'!D$13+J159*'Pesos GPS'!D$14+K159*'Pesos GPS'!D$15+L159*'Pesos GPS'!D$16+'Pesos GPS'!D$17)</f>
        <v>0</v>
      </c>
      <c r="P159" s="5">
        <f>MAX(0,I159*'Pesos GPS'!E$13+J159*'Pesos GPS'!E$14+K159*'Pesos GPS'!E$15+L159*'Pesos GPS'!E$16+'Pesos GPS'!E$17)</f>
        <v>0</v>
      </c>
      <c r="Q159" s="5">
        <f>MAX(0,I159*'Pesos GPS'!F$13+J159*'Pesos GPS'!F$14+K159*'Pesos GPS'!F$15+L159*'Pesos GPS'!F$16+'Pesos GPS'!F$17)</f>
        <v>0</v>
      </c>
      <c r="R159" s="5">
        <f>MAX(0,I159*'Pesos GPS'!G$13+J159*'Pesos GPS'!G$14+K159*'Pesos GPS'!G$15+L159*'Pesos GPS'!G$16+'Pesos GPS'!G$17)</f>
        <v>0</v>
      </c>
      <c r="S159" s="5">
        <f>MAX(0,I159*'Pesos GPS'!H$13+J159*'Pesos GPS'!H$14+K159*'Pesos GPS'!H$15+L159*'Pesos GPS'!H$16+'Pesos GPS'!H$17)</f>
        <v>0</v>
      </c>
      <c r="T159" s="5">
        <f>MAX(0,I159*'Pesos GPS'!I$13+J159*'Pesos GPS'!I$14+K159*'Pesos GPS'!I$15+L159*'Pesos GPS'!I$16+'Pesos GPS'!I$17)</f>
        <v>0</v>
      </c>
      <c r="U159" s="5">
        <f>M159*'Pesos GPS'!$B$22+N159*'Pesos GPS'!$B$23+O159*'Pesos GPS'!$B$24+P159*'Pesos GPS'!$B$25+Q159*'Pesos GPS'!$B$26+R159*'Pesos GPS'!$B$27+S159*'Pesos GPS'!$B$28+T159*'Pesos GPS'!$B$29+'Pesos GPS'!$B$30</f>
        <v>2.37807146</v>
      </c>
      <c r="V159" s="5">
        <f t="shared" si="1"/>
        <v>0.9151397857</v>
      </c>
      <c r="W159" s="3">
        <f t="shared" si="2"/>
        <v>1</v>
      </c>
      <c r="X159" s="3">
        <f t="shared" si="3"/>
        <v>1</v>
      </c>
      <c r="Y159" s="9">
        <f t="shared" si="4"/>
        <v>0</v>
      </c>
      <c r="Z159" s="9">
        <v>0.9151397857284129</v>
      </c>
      <c r="AA159" s="3" t="str">
        <f t="shared" si="5"/>
        <v>OK</v>
      </c>
    </row>
    <row r="160" ht="15.75" customHeight="1">
      <c r="A160" s="3">
        <v>159.0</v>
      </c>
      <c r="B160" s="3" t="s">
        <v>20</v>
      </c>
      <c r="C160" s="7">
        <v>35.690766</v>
      </c>
      <c r="D160" s="7">
        <v>139.661957</v>
      </c>
      <c r="E160" s="3">
        <v>1.0</v>
      </c>
      <c r="F160" s="3" t="s">
        <v>55</v>
      </c>
      <c r="G160" s="5">
        <f>(C160-'Pesos GPS'!$L$4)/'Pesos GPS'!$L$5</f>
        <v>-0.994439537</v>
      </c>
      <c r="H160" s="5">
        <f>(D160-'Pesos GPS'!$L$6)/'Pesos GPS'!$L$7</f>
        <v>1.000124992</v>
      </c>
      <c r="I160" s="5">
        <f>MAX(0,G160*'Pesos GPS'!B$6+H160*'Pesos GPS'!B$7+'Pesos GPS'!B$8)</f>
        <v>0</v>
      </c>
      <c r="J160" s="5">
        <f>MAX(0,G160*'Pesos GPS'!C$6+H160*'Pesos GPS'!C$7+'Pesos GPS'!C$8)</f>
        <v>0</v>
      </c>
      <c r="K160" s="5">
        <f>MAX(0,G160*'Pesos GPS'!D$6+H160*'Pesos GPS'!D$7+'Pesos GPS'!D$8)</f>
        <v>0</v>
      </c>
      <c r="L160" s="5">
        <f>MAX(0,G160*'Pesos GPS'!E$6+H160*'Pesos GPS'!E$7+'Pesos GPS'!E$8)</f>
        <v>0</v>
      </c>
      <c r="M160" s="5">
        <f>MAX(0,I160*'Pesos GPS'!B$13+J160*'Pesos GPS'!B$14+K160*'Pesos GPS'!B$15+L160*'Pesos GPS'!B$16+'Pesos GPS'!B$17)</f>
        <v>0</v>
      </c>
      <c r="N160" s="5">
        <f>MAX(0,I160*'Pesos GPS'!C$13+J160*'Pesos GPS'!C$14+K160*'Pesos GPS'!C$15+L160*'Pesos GPS'!C$16+'Pesos GPS'!C$17)</f>
        <v>0</v>
      </c>
      <c r="O160" s="5">
        <f>MAX(0,I160*'Pesos GPS'!D$13+J160*'Pesos GPS'!D$14+K160*'Pesos GPS'!D$15+L160*'Pesos GPS'!D$16+'Pesos GPS'!D$17)</f>
        <v>0</v>
      </c>
      <c r="P160" s="5">
        <f>MAX(0,I160*'Pesos GPS'!E$13+J160*'Pesos GPS'!E$14+K160*'Pesos GPS'!E$15+L160*'Pesos GPS'!E$16+'Pesos GPS'!E$17)</f>
        <v>0</v>
      </c>
      <c r="Q160" s="5">
        <f>MAX(0,I160*'Pesos GPS'!F$13+J160*'Pesos GPS'!F$14+K160*'Pesos GPS'!F$15+L160*'Pesos GPS'!F$16+'Pesos GPS'!F$17)</f>
        <v>0</v>
      </c>
      <c r="R160" s="5">
        <f>MAX(0,I160*'Pesos GPS'!G$13+J160*'Pesos GPS'!G$14+K160*'Pesos GPS'!G$15+L160*'Pesos GPS'!G$16+'Pesos GPS'!G$17)</f>
        <v>0</v>
      </c>
      <c r="S160" s="5">
        <f>MAX(0,I160*'Pesos GPS'!H$13+J160*'Pesos GPS'!H$14+K160*'Pesos GPS'!H$15+L160*'Pesos GPS'!H$16+'Pesos GPS'!H$17)</f>
        <v>0</v>
      </c>
      <c r="T160" s="5">
        <f>MAX(0,I160*'Pesos GPS'!I$13+J160*'Pesos GPS'!I$14+K160*'Pesos GPS'!I$15+L160*'Pesos GPS'!I$16+'Pesos GPS'!I$17)</f>
        <v>0</v>
      </c>
      <c r="U160" s="5">
        <f>M160*'Pesos GPS'!$B$22+N160*'Pesos GPS'!$B$23+O160*'Pesos GPS'!$B$24+P160*'Pesos GPS'!$B$25+Q160*'Pesos GPS'!$B$26+R160*'Pesos GPS'!$B$27+S160*'Pesos GPS'!$B$28+T160*'Pesos GPS'!$B$29+'Pesos GPS'!$B$30</f>
        <v>2.37807146</v>
      </c>
      <c r="V160" s="5">
        <f t="shared" si="1"/>
        <v>0.9151397857</v>
      </c>
      <c r="W160" s="3">
        <f t="shared" si="2"/>
        <v>1</v>
      </c>
      <c r="X160" s="3">
        <f t="shared" si="3"/>
        <v>1</v>
      </c>
      <c r="Y160" s="9">
        <f t="shared" si="4"/>
        <v>0</v>
      </c>
      <c r="Z160" s="9">
        <v>0.9151397857284129</v>
      </c>
      <c r="AA160" s="3" t="str">
        <f t="shared" si="5"/>
        <v>OK</v>
      </c>
    </row>
    <row r="161" ht="15.75" customHeight="1">
      <c r="A161" s="3">
        <v>160.0</v>
      </c>
      <c r="B161" s="3" t="s">
        <v>20</v>
      </c>
      <c r="C161" s="7">
        <v>35.719508</v>
      </c>
      <c r="D161" s="7">
        <v>139.649395</v>
      </c>
      <c r="E161" s="3">
        <v>1.0</v>
      </c>
      <c r="F161" s="3" t="s">
        <v>55</v>
      </c>
      <c r="G161" s="5">
        <f>(C161-'Pesos GPS'!$L$4)/'Pesos GPS'!$L$5</f>
        <v>-0.9830231251</v>
      </c>
      <c r="H161" s="5">
        <f>(D161-'Pesos GPS'!$L$6)/'Pesos GPS'!$L$7</f>
        <v>1.0000074</v>
      </c>
      <c r="I161" s="5">
        <f>MAX(0,G161*'Pesos GPS'!B$6+H161*'Pesos GPS'!B$7+'Pesos GPS'!B$8)</f>
        <v>0</v>
      </c>
      <c r="J161" s="5">
        <f>MAX(0,G161*'Pesos GPS'!C$6+H161*'Pesos GPS'!C$7+'Pesos GPS'!C$8)</f>
        <v>0</v>
      </c>
      <c r="K161" s="5">
        <f>MAX(0,G161*'Pesos GPS'!D$6+H161*'Pesos GPS'!D$7+'Pesos GPS'!D$8)</f>
        <v>0</v>
      </c>
      <c r="L161" s="5">
        <f>MAX(0,G161*'Pesos GPS'!E$6+H161*'Pesos GPS'!E$7+'Pesos GPS'!E$8)</f>
        <v>0</v>
      </c>
      <c r="M161" s="5">
        <f>MAX(0,I161*'Pesos GPS'!B$13+J161*'Pesos GPS'!B$14+K161*'Pesos GPS'!B$15+L161*'Pesos GPS'!B$16+'Pesos GPS'!B$17)</f>
        <v>0</v>
      </c>
      <c r="N161" s="5">
        <f>MAX(0,I161*'Pesos GPS'!C$13+J161*'Pesos GPS'!C$14+K161*'Pesos GPS'!C$15+L161*'Pesos GPS'!C$16+'Pesos GPS'!C$17)</f>
        <v>0</v>
      </c>
      <c r="O161" s="5">
        <f>MAX(0,I161*'Pesos GPS'!D$13+J161*'Pesos GPS'!D$14+K161*'Pesos GPS'!D$15+L161*'Pesos GPS'!D$16+'Pesos GPS'!D$17)</f>
        <v>0</v>
      </c>
      <c r="P161" s="5">
        <f>MAX(0,I161*'Pesos GPS'!E$13+J161*'Pesos GPS'!E$14+K161*'Pesos GPS'!E$15+L161*'Pesos GPS'!E$16+'Pesos GPS'!E$17)</f>
        <v>0</v>
      </c>
      <c r="Q161" s="5">
        <f>MAX(0,I161*'Pesos GPS'!F$13+J161*'Pesos GPS'!F$14+K161*'Pesos GPS'!F$15+L161*'Pesos GPS'!F$16+'Pesos GPS'!F$17)</f>
        <v>0</v>
      </c>
      <c r="R161" s="5">
        <f>MAX(0,I161*'Pesos GPS'!G$13+J161*'Pesos GPS'!G$14+K161*'Pesos GPS'!G$15+L161*'Pesos GPS'!G$16+'Pesos GPS'!G$17)</f>
        <v>0</v>
      </c>
      <c r="S161" s="5">
        <f>MAX(0,I161*'Pesos GPS'!H$13+J161*'Pesos GPS'!H$14+K161*'Pesos GPS'!H$15+L161*'Pesos GPS'!H$16+'Pesos GPS'!H$17)</f>
        <v>0</v>
      </c>
      <c r="T161" s="5">
        <f>MAX(0,I161*'Pesos GPS'!I$13+J161*'Pesos GPS'!I$14+K161*'Pesos GPS'!I$15+L161*'Pesos GPS'!I$16+'Pesos GPS'!I$17)</f>
        <v>0</v>
      </c>
      <c r="U161" s="5">
        <f>M161*'Pesos GPS'!$B$22+N161*'Pesos GPS'!$B$23+O161*'Pesos GPS'!$B$24+P161*'Pesos GPS'!$B$25+Q161*'Pesos GPS'!$B$26+R161*'Pesos GPS'!$B$27+S161*'Pesos GPS'!$B$28+T161*'Pesos GPS'!$B$29+'Pesos GPS'!$B$30</f>
        <v>2.37807146</v>
      </c>
      <c r="V161" s="5">
        <f t="shared" si="1"/>
        <v>0.9151397857</v>
      </c>
      <c r="W161" s="3">
        <f t="shared" si="2"/>
        <v>1</v>
      </c>
      <c r="X161" s="3">
        <f t="shared" si="3"/>
        <v>1</v>
      </c>
      <c r="Y161" s="9">
        <f t="shared" si="4"/>
        <v>0</v>
      </c>
      <c r="Z161" s="9">
        <v>0.9151397857284129</v>
      </c>
      <c r="AA161" s="3" t="str">
        <f t="shared" si="5"/>
        <v>OK</v>
      </c>
    </row>
    <row r="162" ht="15.75" customHeight="1">
      <c r="A162" s="3">
        <v>161.0</v>
      </c>
      <c r="B162" s="3" t="s">
        <v>20</v>
      </c>
      <c r="C162" s="7">
        <v>35.705635</v>
      </c>
      <c r="D162" s="7">
        <v>139.661287</v>
      </c>
      <c r="E162" s="3">
        <v>1.0</v>
      </c>
      <c r="F162" s="3" t="s">
        <v>55</v>
      </c>
      <c r="G162" s="5">
        <f>(C162-'Pesos GPS'!$L$4)/'Pesos GPS'!$L$5</f>
        <v>-0.9885335239</v>
      </c>
      <c r="H162" s="5">
        <f>(D162-'Pesos GPS'!$L$6)/'Pesos GPS'!$L$7</f>
        <v>1.00011872</v>
      </c>
      <c r="I162" s="5">
        <f>MAX(0,G162*'Pesos GPS'!B$6+H162*'Pesos GPS'!B$7+'Pesos GPS'!B$8)</f>
        <v>0</v>
      </c>
      <c r="J162" s="5">
        <f>MAX(0,G162*'Pesos GPS'!C$6+H162*'Pesos GPS'!C$7+'Pesos GPS'!C$8)</f>
        <v>0</v>
      </c>
      <c r="K162" s="5">
        <f>MAX(0,G162*'Pesos GPS'!D$6+H162*'Pesos GPS'!D$7+'Pesos GPS'!D$8)</f>
        <v>0</v>
      </c>
      <c r="L162" s="5">
        <f>MAX(0,G162*'Pesos GPS'!E$6+H162*'Pesos GPS'!E$7+'Pesos GPS'!E$8)</f>
        <v>0</v>
      </c>
      <c r="M162" s="5">
        <f>MAX(0,I162*'Pesos GPS'!B$13+J162*'Pesos GPS'!B$14+K162*'Pesos GPS'!B$15+L162*'Pesos GPS'!B$16+'Pesos GPS'!B$17)</f>
        <v>0</v>
      </c>
      <c r="N162" s="5">
        <f>MAX(0,I162*'Pesos GPS'!C$13+J162*'Pesos GPS'!C$14+K162*'Pesos GPS'!C$15+L162*'Pesos GPS'!C$16+'Pesos GPS'!C$17)</f>
        <v>0</v>
      </c>
      <c r="O162" s="5">
        <f>MAX(0,I162*'Pesos GPS'!D$13+J162*'Pesos GPS'!D$14+K162*'Pesos GPS'!D$15+L162*'Pesos GPS'!D$16+'Pesos GPS'!D$17)</f>
        <v>0</v>
      </c>
      <c r="P162" s="5">
        <f>MAX(0,I162*'Pesos GPS'!E$13+J162*'Pesos GPS'!E$14+K162*'Pesos GPS'!E$15+L162*'Pesos GPS'!E$16+'Pesos GPS'!E$17)</f>
        <v>0</v>
      </c>
      <c r="Q162" s="5">
        <f>MAX(0,I162*'Pesos GPS'!F$13+J162*'Pesos GPS'!F$14+K162*'Pesos GPS'!F$15+L162*'Pesos GPS'!F$16+'Pesos GPS'!F$17)</f>
        <v>0</v>
      </c>
      <c r="R162" s="5">
        <f>MAX(0,I162*'Pesos GPS'!G$13+J162*'Pesos GPS'!G$14+K162*'Pesos GPS'!G$15+L162*'Pesos GPS'!G$16+'Pesos GPS'!G$17)</f>
        <v>0</v>
      </c>
      <c r="S162" s="5">
        <f>MAX(0,I162*'Pesos GPS'!H$13+J162*'Pesos GPS'!H$14+K162*'Pesos GPS'!H$15+L162*'Pesos GPS'!H$16+'Pesos GPS'!H$17)</f>
        <v>0</v>
      </c>
      <c r="T162" s="5">
        <f>MAX(0,I162*'Pesos GPS'!I$13+J162*'Pesos GPS'!I$14+K162*'Pesos GPS'!I$15+L162*'Pesos GPS'!I$16+'Pesos GPS'!I$17)</f>
        <v>0</v>
      </c>
      <c r="U162" s="5">
        <f>M162*'Pesos GPS'!$B$22+N162*'Pesos GPS'!$B$23+O162*'Pesos GPS'!$B$24+P162*'Pesos GPS'!$B$25+Q162*'Pesos GPS'!$B$26+R162*'Pesos GPS'!$B$27+S162*'Pesos GPS'!$B$28+T162*'Pesos GPS'!$B$29+'Pesos GPS'!$B$30</f>
        <v>2.37807146</v>
      </c>
      <c r="V162" s="5">
        <f t="shared" si="1"/>
        <v>0.9151397857</v>
      </c>
      <c r="W162" s="3">
        <f t="shared" si="2"/>
        <v>1</v>
      </c>
      <c r="X162" s="3">
        <f t="shared" si="3"/>
        <v>1</v>
      </c>
      <c r="Y162" s="9">
        <f t="shared" si="4"/>
        <v>0</v>
      </c>
      <c r="Z162" s="9">
        <v>0.9151397857284129</v>
      </c>
      <c r="AA162" s="3" t="str">
        <f t="shared" si="5"/>
        <v>OK</v>
      </c>
    </row>
    <row r="163" ht="15.75" customHeight="1">
      <c r="A163" s="3">
        <v>162.0</v>
      </c>
      <c r="B163" s="3" t="s">
        <v>20</v>
      </c>
      <c r="C163" s="7">
        <v>35.687177</v>
      </c>
      <c r="D163" s="7">
        <v>139.621132</v>
      </c>
      <c r="E163" s="3">
        <v>1.0</v>
      </c>
      <c r="F163" s="3" t="s">
        <v>55</v>
      </c>
      <c r="G163" s="5">
        <f>(C163-'Pesos GPS'!$L$4)/'Pesos GPS'!$L$5</f>
        <v>-0.995865099</v>
      </c>
      <c r="H163" s="5">
        <f>(D163-'Pesos GPS'!$L$6)/'Pesos GPS'!$L$7</f>
        <v>0.9997428342</v>
      </c>
      <c r="I163" s="5">
        <f>MAX(0,G163*'Pesos GPS'!B$6+H163*'Pesos GPS'!B$7+'Pesos GPS'!B$8)</f>
        <v>0</v>
      </c>
      <c r="J163" s="5">
        <f>MAX(0,G163*'Pesos GPS'!C$6+H163*'Pesos GPS'!C$7+'Pesos GPS'!C$8)</f>
        <v>0</v>
      </c>
      <c r="K163" s="5">
        <f>MAX(0,G163*'Pesos GPS'!D$6+H163*'Pesos GPS'!D$7+'Pesos GPS'!D$8)</f>
        <v>0</v>
      </c>
      <c r="L163" s="5">
        <f>MAX(0,G163*'Pesos GPS'!E$6+H163*'Pesos GPS'!E$7+'Pesos GPS'!E$8)</f>
        <v>0</v>
      </c>
      <c r="M163" s="5">
        <f>MAX(0,I163*'Pesos GPS'!B$13+J163*'Pesos GPS'!B$14+K163*'Pesos GPS'!B$15+L163*'Pesos GPS'!B$16+'Pesos GPS'!B$17)</f>
        <v>0</v>
      </c>
      <c r="N163" s="5">
        <f>MAX(0,I163*'Pesos GPS'!C$13+J163*'Pesos GPS'!C$14+K163*'Pesos GPS'!C$15+L163*'Pesos GPS'!C$16+'Pesos GPS'!C$17)</f>
        <v>0</v>
      </c>
      <c r="O163" s="5">
        <f>MAX(0,I163*'Pesos GPS'!D$13+J163*'Pesos GPS'!D$14+K163*'Pesos GPS'!D$15+L163*'Pesos GPS'!D$16+'Pesos GPS'!D$17)</f>
        <v>0</v>
      </c>
      <c r="P163" s="5">
        <f>MAX(0,I163*'Pesos GPS'!E$13+J163*'Pesos GPS'!E$14+K163*'Pesos GPS'!E$15+L163*'Pesos GPS'!E$16+'Pesos GPS'!E$17)</f>
        <v>0</v>
      </c>
      <c r="Q163" s="5">
        <f>MAX(0,I163*'Pesos GPS'!F$13+J163*'Pesos GPS'!F$14+K163*'Pesos GPS'!F$15+L163*'Pesos GPS'!F$16+'Pesos GPS'!F$17)</f>
        <v>0</v>
      </c>
      <c r="R163" s="5">
        <f>MAX(0,I163*'Pesos GPS'!G$13+J163*'Pesos GPS'!G$14+K163*'Pesos GPS'!G$15+L163*'Pesos GPS'!G$16+'Pesos GPS'!G$17)</f>
        <v>0</v>
      </c>
      <c r="S163" s="5">
        <f>MAX(0,I163*'Pesos GPS'!H$13+J163*'Pesos GPS'!H$14+K163*'Pesos GPS'!H$15+L163*'Pesos GPS'!H$16+'Pesos GPS'!H$17)</f>
        <v>0</v>
      </c>
      <c r="T163" s="5">
        <f>MAX(0,I163*'Pesos GPS'!I$13+J163*'Pesos GPS'!I$14+K163*'Pesos GPS'!I$15+L163*'Pesos GPS'!I$16+'Pesos GPS'!I$17)</f>
        <v>0</v>
      </c>
      <c r="U163" s="5">
        <f>M163*'Pesos GPS'!$B$22+N163*'Pesos GPS'!$B$23+O163*'Pesos GPS'!$B$24+P163*'Pesos GPS'!$B$25+Q163*'Pesos GPS'!$B$26+R163*'Pesos GPS'!$B$27+S163*'Pesos GPS'!$B$28+T163*'Pesos GPS'!$B$29+'Pesos GPS'!$B$30</f>
        <v>2.37807146</v>
      </c>
      <c r="V163" s="5">
        <f t="shared" si="1"/>
        <v>0.9151397857</v>
      </c>
      <c r="W163" s="3">
        <f t="shared" si="2"/>
        <v>1</v>
      </c>
      <c r="X163" s="3">
        <f t="shared" si="3"/>
        <v>1</v>
      </c>
      <c r="Y163" s="9">
        <f t="shared" si="4"/>
        <v>0</v>
      </c>
      <c r="Z163" s="9">
        <v>0.9151397857284129</v>
      </c>
      <c r="AA163" s="3" t="str">
        <f t="shared" si="5"/>
        <v>OK</v>
      </c>
    </row>
    <row r="164" ht="15.75" customHeight="1">
      <c r="A164" s="3">
        <v>163.0</v>
      </c>
      <c r="B164" s="3" t="s">
        <v>20</v>
      </c>
      <c r="C164" s="7">
        <v>35.719798</v>
      </c>
      <c r="D164" s="7">
        <v>139.594665</v>
      </c>
      <c r="E164" s="3">
        <v>1.0</v>
      </c>
      <c r="F164" s="3" t="s">
        <v>55</v>
      </c>
      <c r="G164" s="5">
        <f>(C164-'Pesos GPS'!$L$4)/'Pesos GPS'!$L$5</f>
        <v>-0.9829079362</v>
      </c>
      <c r="H164" s="5">
        <f>(D164-'Pesos GPS'!$L$6)/'Pesos GPS'!$L$7</f>
        <v>0.9994950801</v>
      </c>
      <c r="I164" s="5">
        <f>MAX(0,G164*'Pesos GPS'!B$6+H164*'Pesos GPS'!B$7+'Pesos GPS'!B$8)</f>
        <v>0</v>
      </c>
      <c r="J164" s="5">
        <f>MAX(0,G164*'Pesos GPS'!C$6+H164*'Pesos GPS'!C$7+'Pesos GPS'!C$8)</f>
        <v>0</v>
      </c>
      <c r="K164" s="5">
        <f>MAX(0,G164*'Pesos GPS'!D$6+H164*'Pesos GPS'!D$7+'Pesos GPS'!D$8)</f>
        <v>0</v>
      </c>
      <c r="L164" s="5">
        <f>MAX(0,G164*'Pesos GPS'!E$6+H164*'Pesos GPS'!E$7+'Pesos GPS'!E$8)</f>
        <v>0</v>
      </c>
      <c r="M164" s="5">
        <f>MAX(0,I164*'Pesos GPS'!B$13+J164*'Pesos GPS'!B$14+K164*'Pesos GPS'!B$15+L164*'Pesos GPS'!B$16+'Pesos GPS'!B$17)</f>
        <v>0</v>
      </c>
      <c r="N164" s="5">
        <f>MAX(0,I164*'Pesos GPS'!C$13+J164*'Pesos GPS'!C$14+K164*'Pesos GPS'!C$15+L164*'Pesos GPS'!C$16+'Pesos GPS'!C$17)</f>
        <v>0</v>
      </c>
      <c r="O164" s="5">
        <f>MAX(0,I164*'Pesos GPS'!D$13+J164*'Pesos GPS'!D$14+K164*'Pesos GPS'!D$15+L164*'Pesos GPS'!D$16+'Pesos GPS'!D$17)</f>
        <v>0</v>
      </c>
      <c r="P164" s="5">
        <f>MAX(0,I164*'Pesos GPS'!E$13+J164*'Pesos GPS'!E$14+K164*'Pesos GPS'!E$15+L164*'Pesos GPS'!E$16+'Pesos GPS'!E$17)</f>
        <v>0</v>
      </c>
      <c r="Q164" s="5">
        <f>MAX(0,I164*'Pesos GPS'!F$13+J164*'Pesos GPS'!F$14+K164*'Pesos GPS'!F$15+L164*'Pesos GPS'!F$16+'Pesos GPS'!F$17)</f>
        <v>0</v>
      </c>
      <c r="R164" s="5">
        <f>MAX(0,I164*'Pesos GPS'!G$13+J164*'Pesos GPS'!G$14+K164*'Pesos GPS'!G$15+L164*'Pesos GPS'!G$16+'Pesos GPS'!G$17)</f>
        <v>0</v>
      </c>
      <c r="S164" s="5">
        <f>MAX(0,I164*'Pesos GPS'!H$13+J164*'Pesos GPS'!H$14+K164*'Pesos GPS'!H$15+L164*'Pesos GPS'!H$16+'Pesos GPS'!H$17)</f>
        <v>0</v>
      </c>
      <c r="T164" s="5">
        <f>MAX(0,I164*'Pesos GPS'!I$13+J164*'Pesos GPS'!I$14+K164*'Pesos GPS'!I$15+L164*'Pesos GPS'!I$16+'Pesos GPS'!I$17)</f>
        <v>0</v>
      </c>
      <c r="U164" s="5">
        <f>M164*'Pesos GPS'!$B$22+N164*'Pesos GPS'!$B$23+O164*'Pesos GPS'!$B$24+P164*'Pesos GPS'!$B$25+Q164*'Pesos GPS'!$B$26+R164*'Pesos GPS'!$B$27+S164*'Pesos GPS'!$B$28+T164*'Pesos GPS'!$B$29+'Pesos GPS'!$B$30</f>
        <v>2.37807146</v>
      </c>
      <c r="V164" s="5">
        <f t="shared" si="1"/>
        <v>0.9151397857</v>
      </c>
      <c r="W164" s="3">
        <f t="shared" si="2"/>
        <v>1</v>
      </c>
      <c r="X164" s="3">
        <f t="shared" si="3"/>
        <v>1</v>
      </c>
      <c r="Y164" s="9">
        <f t="shared" si="4"/>
        <v>0</v>
      </c>
      <c r="Z164" s="9">
        <v>0.9151397857284129</v>
      </c>
      <c r="AA164" s="3" t="str">
        <f t="shared" si="5"/>
        <v>OK</v>
      </c>
    </row>
    <row r="165" ht="15.75" customHeight="1">
      <c r="A165" s="3">
        <v>164.0</v>
      </c>
      <c r="B165" s="3" t="s">
        <v>20</v>
      </c>
      <c r="C165" s="7">
        <v>35.687175</v>
      </c>
      <c r="D165" s="7">
        <v>139.577746</v>
      </c>
      <c r="E165" s="3">
        <v>1.0</v>
      </c>
      <c r="F165" s="3" t="s">
        <v>55</v>
      </c>
      <c r="G165" s="5">
        <f>(C165-'Pesos GPS'!$L$4)/'Pesos GPS'!$L$5</f>
        <v>-0.9958658934</v>
      </c>
      <c r="H165" s="5">
        <f>(D165-'Pesos GPS'!$L$6)/'Pesos GPS'!$L$7</f>
        <v>0.9993367035</v>
      </c>
      <c r="I165" s="5">
        <f>MAX(0,G165*'Pesos GPS'!B$6+H165*'Pesos GPS'!B$7+'Pesos GPS'!B$8)</f>
        <v>0</v>
      </c>
      <c r="J165" s="5">
        <f>MAX(0,G165*'Pesos GPS'!C$6+H165*'Pesos GPS'!C$7+'Pesos GPS'!C$8)</f>
        <v>0</v>
      </c>
      <c r="K165" s="5">
        <f>MAX(0,G165*'Pesos GPS'!D$6+H165*'Pesos GPS'!D$7+'Pesos GPS'!D$8)</f>
        <v>0</v>
      </c>
      <c r="L165" s="5">
        <f>MAX(0,G165*'Pesos GPS'!E$6+H165*'Pesos GPS'!E$7+'Pesos GPS'!E$8)</f>
        <v>0</v>
      </c>
      <c r="M165" s="5">
        <f>MAX(0,I165*'Pesos GPS'!B$13+J165*'Pesos GPS'!B$14+K165*'Pesos GPS'!B$15+L165*'Pesos GPS'!B$16+'Pesos GPS'!B$17)</f>
        <v>0</v>
      </c>
      <c r="N165" s="5">
        <f>MAX(0,I165*'Pesos GPS'!C$13+J165*'Pesos GPS'!C$14+K165*'Pesos GPS'!C$15+L165*'Pesos GPS'!C$16+'Pesos GPS'!C$17)</f>
        <v>0</v>
      </c>
      <c r="O165" s="5">
        <f>MAX(0,I165*'Pesos GPS'!D$13+J165*'Pesos GPS'!D$14+K165*'Pesos GPS'!D$15+L165*'Pesos GPS'!D$16+'Pesos GPS'!D$17)</f>
        <v>0</v>
      </c>
      <c r="P165" s="5">
        <f>MAX(0,I165*'Pesos GPS'!E$13+J165*'Pesos GPS'!E$14+K165*'Pesos GPS'!E$15+L165*'Pesos GPS'!E$16+'Pesos GPS'!E$17)</f>
        <v>0</v>
      </c>
      <c r="Q165" s="5">
        <f>MAX(0,I165*'Pesos GPS'!F$13+J165*'Pesos GPS'!F$14+K165*'Pesos GPS'!F$15+L165*'Pesos GPS'!F$16+'Pesos GPS'!F$17)</f>
        <v>0</v>
      </c>
      <c r="R165" s="5">
        <f>MAX(0,I165*'Pesos GPS'!G$13+J165*'Pesos GPS'!G$14+K165*'Pesos GPS'!G$15+L165*'Pesos GPS'!G$16+'Pesos GPS'!G$17)</f>
        <v>0</v>
      </c>
      <c r="S165" s="5">
        <f>MAX(0,I165*'Pesos GPS'!H$13+J165*'Pesos GPS'!H$14+K165*'Pesos GPS'!H$15+L165*'Pesos GPS'!H$16+'Pesos GPS'!H$17)</f>
        <v>0</v>
      </c>
      <c r="T165" s="5">
        <f>MAX(0,I165*'Pesos GPS'!I$13+J165*'Pesos GPS'!I$14+K165*'Pesos GPS'!I$15+L165*'Pesos GPS'!I$16+'Pesos GPS'!I$17)</f>
        <v>0</v>
      </c>
      <c r="U165" s="5">
        <f>M165*'Pesos GPS'!$B$22+N165*'Pesos GPS'!$B$23+O165*'Pesos GPS'!$B$24+P165*'Pesos GPS'!$B$25+Q165*'Pesos GPS'!$B$26+R165*'Pesos GPS'!$B$27+S165*'Pesos GPS'!$B$28+T165*'Pesos GPS'!$B$29+'Pesos GPS'!$B$30</f>
        <v>2.37807146</v>
      </c>
      <c r="V165" s="5">
        <f t="shared" si="1"/>
        <v>0.9151397857</v>
      </c>
      <c r="W165" s="3">
        <f t="shared" si="2"/>
        <v>1</v>
      </c>
      <c r="X165" s="3">
        <f t="shared" si="3"/>
        <v>1</v>
      </c>
      <c r="Y165" s="9">
        <f t="shared" si="4"/>
        <v>0</v>
      </c>
      <c r="Z165" s="9">
        <v>0.9151397857284129</v>
      </c>
      <c r="AA165" s="3" t="str">
        <f t="shared" si="5"/>
        <v>OK</v>
      </c>
    </row>
    <row r="166" ht="15.75" customHeight="1">
      <c r="A166" s="3">
        <v>165.0</v>
      </c>
      <c r="B166" s="3" t="s">
        <v>20</v>
      </c>
      <c r="C166" s="7">
        <v>35.6969</v>
      </c>
      <c r="D166" s="7">
        <v>139.611192</v>
      </c>
      <c r="E166" s="3">
        <v>1.0</v>
      </c>
      <c r="F166" s="3" t="s">
        <v>55</v>
      </c>
      <c r="G166" s="5">
        <f>(C166-'Pesos GPS'!$L$4)/'Pesos GPS'!$L$5</f>
        <v>-0.9920030931</v>
      </c>
      <c r="H166" s="5">
        <f>(D166-'Pesos GPS'!$L$6)/'Pesos GPS'!$L$7</f>
        <v>0.9996497871</v>
      </c>
      <c r="I166" s="5">
        <f>MAX(0,G166*'Pesos GPS'!B$6+H166*'Pesos GPS'!B$7+'Pesos GPS'!B$8)</f>
        <v>0</v>
      </c>
      <c r="J166" s="5">
        <f>MAX(0,G166*'Pesos GPS'!C$6+H166*'Pesos GPS'!C$7+'Pesos GPS'!C$8)</f>
        <v>0</v>
      </c>
      <c r="K166" s="5">
        <f>MAX(0,G166*'Pesos GPS'!D$6+H166*'Pesos GPS'!D$7+'Pesos GPS'!D$8)</f>
        <v>0</v>
      </c>
      <c r="L166" s="5">
        <f>MAX(0,G166*'Pesos GPS'!E$6+H166*'Pesos GPS'!E$7+'Pesos GPS'!E$8)</f>
        <v>0</v>
      </c>
      <c r="M166" s="5">
        <f>MAX(0,I166*'Pesos GPS'!B$13+J166*'Pesos GPS'!B$14+K166*'Pesos GPS'!B$15+L166*'Pesos GPS'!B$16+'Pesos GPS'!B$17)</f>
        <v>0</v>
      </c>
      <c r="N166" s="5">
        <f>MAX(0,I166*'Pesos GPS'!C$13+J166*'Pesos GPS'!C$14+K166*'Pesos GPS'!C$15+L166*'Pesos GPS'!C$16+'Pesos GPS'!C$17)</f>
        <v>0</v>
      </c>
      <c r="O166" s="5">
        <f>MAX(0,I166*'Pesos GPS'!D$13+J166*'Pesos GPS'!D$14+K166*'Pesos GPS'!D$15+L166*'Pesos GPS'!D$16+'Pesos GPS'!D$17)</f>
        <v>0</v>
      </c>
      <c r="P166" s="5">
        <f>MAX(0,I166*'Pesos GPS'!E$13+J166*'Pesos GPS'!E$14+K166*'Pesos GPS'!E$15+L166*'Pesos GPS'!E$16+'Pesos GPS'!E$17)</f>
        <v>0</v>
      </c>
      <c r="Q166" s="5">
        <f>MAX(0,I166*'Pesos GPS'!F$13+J166*'Pesos GPS'!F$14+K166*'Pesos GPS'!F$15+L166*'Pesos GPS'!F$16+'Pesos GPS'!F$17)</f>
        <v>0</v>
      </c>
      <c r="R166" s="5">
        <f>MAX(0,I166*'Pesos GPS'!G$13+J166*'Pesos GPS'!G$14+K166*'Pesos GPS'!G$15+L166*'Pesos GPS'!G$16+'Pesos GPS'!G$17)</f>
        <v>0</v>
      </c>
      <c r="S166" s="5">
        <f>MAX(0,I166*'Pesos GPS'!H$13+J166*'Pesos GPS'!H$14+K166*'Pesos GPS'!H$15+L166*'Pesos GPS'!H$16+'Pesos GPS'!H$17)</f>
        <v>0</v>
      </c>
      <c r="T166" s="5">
        <f>MAX(0,I166*'Pesos GPS'!I$13+J166*'Pesos GPS'!I$14+K166*'Pesos GPS'!I$15+L166*'Pesos GPS'!I$16+'Pesos GPS'!I$17)</f>
        <v>0</v>
      </c>
      <c r="U166" s="5">
        <f>M166*'Pesos GPS'!$B$22+N166*'Pesos GPS'!$B$23+O166*'Pesos GPS'!$B$24+P166*'Pesos GPS'!$B$25+Q166*'Pesos GPS'!$B$26+R166*'Pesos GPS'!$B$27+S166*'Pesos GPS'!$B$28+T166*'Pesos GPS'!$B$29+'Pesos GPS'!$B$30</f>
        <v>2.37807146</v>
      </c>
      <c r="V166" s="5">
        <f t="shared" si="1"/>
        <v>0.9151397857</v>
      </c>
      <c r="W166" s="3">
        <f t="shared" si="2"/>
        <v>1</v>
      </c>
      <c r="X166" s="3">
        <f t="shared" si="3"/>
        <v>1</v>
      </c>
      <c r="Y166" s="9">
        <f t="shared" si="4"/>
        <v>0</v>
      </c>
      <c r="Z166" s="9">
        <v>0.9151397857284129</v>
      </c>
      <c r="AA166" s="3" t="str">
        <f t="shared" si="5"/>
        <v>OK</v>
      </c>
    </row>
    <row r="167" ht="15.75" customHeight="1">
      <c r="A167" s="3">
        <v>166.0</v>
      </c>
      <c r="B167" s="3" t="s">
        <v>20</v>
      </c>
      <c r="C167" s="7">
        <v>35.668786</v>
      </c>
      <c r="D167" s="7">
        <v>139.634246</v>
      </c>
      <c r="E167" s="3">
        <v>1.0</v>
      </c>
      <c r="F167" s="3" t="s">
        <v>55</v>
      </c>
      <c r="G167" s="5">
        <f>(C167-'Pesos GPS'!$L$4)/'Pesos GPS'!$L$5</f>
        <v>-1.003170061</v>
      </c>
      <c r="H167" s="5">
        <f>(D167-'Pesos GPS'!$L$6)/'Pesos GPS'!$L$7</f>
        <v>0.9998655926</v>
      </c>
      <c r="I167" s="5">
        <f>MAX(0,G167*'Pesos GPS'!B$6+H167*'Pesos GPS'!B$7+'Pesos GPS'!B$8)</f>
        <v>0</v>
      </c>
      <c r="J167" s="5">
        <f>MAX(0,G167*'Pesos GPS'!C$6+H167*'Pesos GPS'!C$7+'Pesos GPS'!C$8)</f>
        <v>0</v>
      </c>
      <c r="K167" s="5">
        <f>MAX(0,G167*'Pesos GPS'!D$6+H167*'Pesos GPS'!D$7+'Pesos GPS'!D$8)</f>
        <v>0</v>
      </c>
      <c r="L167" s="5">
        <f>MAX(0,G167*'Pesos GPS'!E$6+H167*'Pesos GPS'!E$7+'Pesos GPS'!E$8)</f>
        <v>0</v>
      </c>
      <c r="M167" s="5">
        <f>MAX(0,I167*'Pesos GPS'!B$13+J167*'Pesos GPS'!B$14+K167*'Pesos GPS'!B$15+L167*'Pesos GPS'!B$16+'Pesos GPS'!B$17)</f>
        <v>0</v>
      </c>
      <c r="N167" s="5">
        <f>MAX(0,I167*'Pesos GPS'!C$13+J167*'Pesos GPS'!C$14+K167*'Pesos GPS'!C$15+L167*'Pesos GPS'!C$16+'Pesos GPS'!C$17)</f>
        <v>0</v>
      </c>
      <c r="O167" s="5">
        <f>MAX(0,I167*'Pesos GPS'!D$13+J167*'Pesos GPS'!D$14+K167*'Pesos GPS'!D$15+L167*'Pesos GPS'!D$16+'Pesos GPS'!D$17)</f>
        <v>0</v>
      </c>
      <c r="P167" s="5">
        <f>MAX(0,I167*'Pesos GPS'!E$13+J167*'Pesos GPS'!E$14+K167*'Pesos GPS'!E$15+L167*'Pesos GPS'!E$16+'Pesos GPS'!E$17)</f>
        <v>0</v>
      </c>
      <c r="Q167" s="5">
        <f>MAX(0,I167*'Pesos GPS'!F$13+J167*'Pesos GPS'!F$14+K167*'Pesos GPS'!F$15+L167*'Pesos GPS'!F$16+'Pesos GPS'!F$17)</f>
        <v>0</v>
      </c>
      <c r="R167" s="5">
        <f>MAX(0,I167*'Pesos GPS'!G$13+J167*'Pesos GPS'!G$14+K167*'Pesos GPS'!G$15+L167*'Pesos GPS'!G$16+'Pesos GPS'!G$17)</f>
        <v>0</v>
      </c>
      <c r="S167" s="5">
        <f>MAX(0,I167*'Pesos GPS'!H$13+J167*'Pesos GPS'!H$14+K167*'Pesos GPS'!H$15+L167*'Pesos GPS'!H$16+'Pesos GPS'!H$17)</f>
        <v>0</v>
      </c>
      <c r="T167" s="5">
        <f>MAX(0,I167*'Pesos GPS'!I$13+J167*'Pesos GPS'!I$14+K167*'Pesos GPS'!I$15+L167*'Pesos GPS'!I$16+'Pesos GPS'!I$17)</f>
        <v>0</v>
      </c>
      <c r="U167" s="5">
        <f>M167*'Pesos GPS'!$B$22+N167*'Pesos GPS'!$B$23+O167*'Pesos GPS'!$B$24+P167*'Pesos GPS'!$B$25+Q167*'Pesos GPS'!$B$26+R167*'Pesos GPS'!$B$27+S167*'Pesos GPS'!$B$28+T167*'Pesos GPS'!$B$29+'Pesos GPS'!$B$30</f>
        <v>2.37807146</v>
      </c>
      <c r="V167" s="5">
        <f t="shared" si="1"/>
        <v>0.9151397857</v>
      </c>
      <c r="W167" s="3">
        <f t="shared" si="2"/>
        <v>1</v>
      </c>
      <c r="X167" s="3">
        <f t="shared" si="3"/>
        <v>1</v>
      </c>
      <c r="Y167" s="9">
        <f t="shared" si="4"/>
        <v>0</v>
      </c>
      <c r="Z167" s="9">
        <v>0.9151397857284129</v>
      </c>
      <c r="AA167" s="3" t="str">
        <f t="shared" si="5"/>
        <v>OK</v>
      </c>
    </row>
    <row r="168" ht="15.75" customHeight="1">
      <c r="A168" s="3">
        <v>167.0</v>
      </c>
      <c r="B168" s="3" t="s">
        <v>20</v>
      </c>
      <c r="C168" s="7">
        <v>35.677864</v>
      </c>
      <c r="D168" s="7">
        <v>139.640038</v>
      </c>
      <c r="E168" s="3">
        <v>1.0</v>
      </c>
      <c r="F168" s="3" t="s">
        <v>55</v>
      </c>
      <c r="G168" s="5">
        <f>(C168-'Pesos GPS'!$L$4)/'Pesos GPS'!$L$5</f>
        <v>-0.9995642516</v>
      </c>
      <c r="H168" s="5">
        <f>(D168-'Pesos GPS'!$L$6)/'Pesos GPS'!$L$7</f>
        <v>0.9999198107</v>
      </c>
      <c r="I168" s="5">
        <f>MAX(0,G168*'Pesos GPS'!B$6+H168*'Pesos GPS'!B$7+'Pesos GPS'!B$8)</f>
        <v>0</v>
      </c>
      <c r="J168" s="5">
        <f>MAX(0,G168*'Pesos GPS'!C$6+H168*'Pesos GPS'!C$7+'Pesos GPS'!C$8)</f>
        <v>0</v>
      </c>
      <c r="K168" s="5">
        <f>MAX(0,G168*'Pesos GPS'!D$6+H168*'Pesos GPS'!D$7+'Pesos GPS'!D$8)</f>
        <v>0</v>
      </c>
      <c r="L168" s="5">
        <f>MAX(0,G168*'Pesos GPS'!E$6+H168*'Pesos GPS'!E$7+'Pesos GPS'!E$8)</f>
        <v>0</v>
      </c>
      <c r="M168" s="5">
        <f>MAX(0,I168*'Pesos GPS'!B$13+J168*'Pesos GPS'!B$14+K168*'Pesos GPS'!B$15+L168*'Pesos GPS'!B$16+'Pesos GPS'!B$17)</f>
        <v>0</v>
      </c>
      <c r="N168" s="5">
        <f>MAX(0,I168*'Pesos GPS'!C$13+J168*'Pesos GPS'!C$14+K168*'Pesos GPS'!C$15+L168*'Pesos GPS'!C$16+'Pesos GPS'!C$17)</f>
        <v>0</v>
      </c>
      <c r="O168" s="5">
        <f>MAX(0,I168*'Pesos GPS'!D$13+J168*'Pesos GPS'!D$14+K168*'Pesos GPS'!D$15+L168*'Pesos GPS'!D$16+'Pesos GPS'!D$17)</f>
        <v>0</v>
      </c>
      <c r="P168" s="5">
        <f>MAX(0,I168*'Pesos GPS'!E$13+J168*'Pesos GPS'!E$14+K168*'Pesos GPS'!E$15+L168*'Pesos GPS'!E$16+'Pesos GPS'!E$17)</f>
        <v>0</v>
      </c>
      <c r="Q168" s="5">
        <f>MAX(0,I168*'Pesos GPS'!F$13+J168*'Pesos GPS'!F$14+K168*'Pesos GPS'!F$15+L168*'Pesos GPS'!F$16+'Pesos GPS'!F$17)</f>
        <v>0</v>
      </c>
      <c r="R168" s="5">
        <f>MAX(0,I168*'Pesos GPS'!G$13+J168*'Pesos GPS'!G$14+K168*'Pesos GPS'!G$15+L168*'Pesos GPS'!G$16+'Pesos GPS'!G$17)</f>
        <v>0</v>
      </c>
      <c r="S168" s="5">
        <f>MAX(0,I168*'Pesos GPS'!H$13+J168*'Pesos GPS'!H$14+K168*'Pesos GPS'!H$15+L168*'Pesos GPS'!H$16+'Pesos GPS'!H$17)</f>
        <v>0</v>
      </c>
      <c r="T168" s="5">
        <f>MAX(0,I168*'Pesos GPS'!I$13+J168*'Pesos GPS'!I$14+K168*'Pesos GPS'!I$15+L168*'Pesos GPS'!I$16+'Pesos GPS'!I$17)</f>
        <v>0</v>
      </c>
      <c r="U168" s="5">
        <f>M168*'Pesos GPS'!$B$22+N168*'Pesos GPS'!$B$23+O168*'Pesos GPS'!$B$24+P168*'Pesos GPS'!$B$25+Q168*'Pesos GPS'!$B$26+R168*'Pesos GPS'!$B$27+S168*'Pesos GPS'!$B$28+T168*'Pesos GPS'!$B$29+'Pesos GPS'!$B$30</f>
        <v>2.37807146</v>
      </c>
      <c r="V168" s="5">
        <f t="shared" si="1"/>
        <v>0.9151397857</v>
      </c>
      <c r="W168" s="3">
        <f t="shared" si="2"/>
        <v>1</v>
      </c>
      <c r="X168" s="3">
        <f t="shared" si="3"/>
        <v>1</v>
      </c>
      <c r="Y168" s="9">
        <f t="shared" si="4"/>
        <v>0</v>
      </c>
      <c r="Z168" s="9">
        <v>0.9151397857284129</v>
      </c>
      <c r="AA168" s="3" t="str">
        <f t="shared" si="5"/>
        <v>OK</v>
      </c>
    </row>
    <row r="169" ht="15.75" customHeight="1">
      <c r="A169" s="3">
        <v>168.0</v>
      </c>
      <c r="B169" s="3" t="s">
        <v>20</v>
      </c>
      <c r="C169" s="7">
        <v>35.658764</v>
      </c>
      <c r="D169" s="7">
        <v>139.718103</v>
      </c>
      <c r="E169" s="3">
        <v>1.0</v>
      </c>
      <c r="F169" s="3" t="s">
        <v>55</v>
      </c>
      <c r="G169" s="5">
        <f>(C169-'Pesos GPS'!$L$4)/'Pesos GPS'!$L$5</f>
        <v>-1.007150831</v>
      </c>
      <c r="H169" s="5">
        <f>(D169-'Pesos GPS'!$L$6)/'Pesos GPS'!$L$7</f>
        <v>1.000650567</v>
      </c>
      <c r="I169" s="5">
        <f>MAX(0,G169*'Pesos GPS'!B$6+H169*'Pesos GPS'!B$7+'Pesos GPS'!B$8)</f>
        <v>0</v>
      </c>
      <c r="J169" s="5">
        <f>MAX(0,G169*'Pesos GPS'!C$6+H169*'Pesos GPS'!C$7+'Pesos GPS'!C$8)</f>
        <v>0</v>
      </c>
      <c r="K169" s="5">
        <f>MAX(0,G169*'Pesos GPS'!D$6+H169*'Pesos GPS'!D$7+'Pesos GPS'!D$8)</f>
        <v>0</v>
      </c>
      <c r="L169" s="5">
        <f>MAX(0,G169*'Pesos GPS'!E$6+H169*'Pesos GPS'!E$7+'Pesos GPS'!E$8)</f>
        <v>0</v>
      </c>
      <c r="M169" s="5">
        <f>MAX(0,I169*'Pesos GPS'!B$13+J169*'Pesos GPS'!B$14+K169*'Pesos GPS'!B$15+L169*'Pesos GPS'!B$16+'Pesos GPS'!B$17)</f>
        <v>0</v>
      </c>
      <c r="N169" s="5">
        <f>MAX(0,I169*'Pesos GPS'!C$13+J169*'Pesos GPS'!C$14+K169*'Pesos GPS'!C$15+L169*'Pesos GPS'!C$16+'Pesos GPS'!C$17)</f>
        <v>0</v>
      </c>
      <c r="O169" s="5">
        <f>MAX(0,I169*'Pesos GPS'!D$13+J169*'Pesos GPS'!D$14+K169*'Pesos GPS'!D$15+L169*'Pesos GPS'!D$16+'Pesos GPS'!D$17)</f>
        <v>0</v>
      </c>
      <c r="P169" s="5">
        <f>MAX(0,I169*'Pesos GPS'!E$13+J169*'Pesos GPS'!E$14+K169*'Pesos GPS'!E$15+L169*'Pesos GPS'!E$16+'Pesos GPS'!E$17)</f>
        <v>0</v>
      </c>
      <c r="Q169" s="5">
        <f>MAX(0,I169*'Pesos GPS'!F$13+J169*'Pesos GPS'!F$14+K169*'Pesos GPS'!F$15+L169*'Pesos GPS'!F$16+'Pesos GPS'!F$17)</f>
        <v>0</v>
      </c>
      <c r="R169" s="5">
        <f>MAX(0,I169*'Pesos GPS'!G$13+J169*'Pesos GPS'!G$14+K169*'Pesos GPS'!G$15+L169*'Pesos GPS'!G$16+'Pesos GPS'!G$17)</f>
        <v>0</v>
      </c>
      <c r="S169" s="5">
        <f>MAX(0,I169*'Pesos GPS'!H$13+J169*'Pesos GPS'!H$14+K169*'Pesos GPS'!H$15+L169*'Pesos GPS'!H$16+'Pesos GPS'!H$17)</f>
        <v>0</v>
      </c>
      <c r="T169" s="5">
        <f>MAX(0,I169*'Pesos GPS'!I$13+J169*'Pesos GPS'!I$14+K169*'Pesos GPS'!I$15+L169*'Pesos GPS'!I$16+'Pesos GPS'!I$17)</f>
        <v>0</v>
      </c>
      <c r="U169" s="5">
        <f>M169*'Pesos GPS'!$B$22+N169*'Pesos GPS'!$B$23+O169*'Pesos GPS'!$B$24+P169*'Pesos GPS'!$B$25+Q169*'Pesos GPS'!$B$26+R169*'Pesos GPS'!$B$27+S169*'Pesos GPS'!$B$28+T169*'Pesos GPS'!$B$29+'Pesos GPS'!$B$30</f>
        <v>2.37807146</v>
      </c>
      <c r="V169" s="5">
        <f t="shared" si="1"/>
        <v>0.9151397857</v>
      </c>
      <c r="W169" s="3">
        <f t="shared" si="2"/>
        <v>1</v>
      </c>
      <c r="X169" s="3">
        <f t="shared" si="3"/>
        <v>1</v>
      </c>
      <c r="Y169" s="9">
        <f t="shared" si="4"/>
        <v>0</v>
      </c>
      <c r="Z169" s="9">
        <v>0.9151397857284129</v>
      </c>
      <c r="AA169" s="3" t="str">
        <f t="shared" si="5"/>
        <v>OK</v>
      </c>
    </row>
    <row r="170" ht="15.75" customHeight="1">
      <c r="A170" s="3">
        <v>169.0</v>
      </c>
      <c r="B170" s="3" t="s">
        <v>20</v>
      </c>
      <c r="C170" s="7">
        <v>35.70094</v>
      </c>
      <c r="D170" s="7">
        <v>139.68901</v>
      </c>
      <c r="E170" s="3">
        <v>1.0</v>
      </c>
      <c r="F170" s="3" t="s">
        <v>55</v>
      </c>
      <c r="G170" s="5">
        <f>(C170-'Pesos GPS'!$L$4)/'Pesos GPS'!$L$5</f>
        <v>-0.9903983925</v>
      </c>
      <c r="H170" s="5">
        <f>(D170-'Pesos GPS'!$L$6)/'Pesos GPS'!$L$7</f>
        <v>1.000378231</v>
      </c>
      <c r="I170" s="5">
        <f>MAX(0,G170*'Pesos GPS'!B$6+H170*'Pesos GPS'!B$7+'Pesos GPS'!B$8)</f>
        <v>0</v>
      </c>
      <c r="J170" s="5">
        <f>MAX(0,G170*'Pesos GPS'!C$6+H170*'Pesos GPS'!C$7+'Pesos GPS'!C$8)</f>
        <v>0</v>
      </c>
      <c r="K170" s="5">
        <f>MAX(0,G170*'Pesos GPS'!D$6+H170*'Pesos GPS'!D$7+'Pesos GPS'!D$8)</f>
        <v>0</v>
      </c>
      <c r="L170" s="5">
        <f>MAX(0,G170*'Pesos GPS'!E$6+H170*'Pesos GPS'!E$7+'Pesos GPS'!E$8)</f>
        <v>0</v>
      </c>
      <c r="M170" s="5">
        <f>MAX(0,I170*'Pesos GPS'!B$13+J170*'Pesos GPS'!B$14+K170*'Pesos GPS'!B$15+L170*'Pesos GPS'!B$16+'Pesos GPS'!B$17)</f>
        <v>0</v>
      </c>
      <c r="N170" s="5">
        <f>MAX(0,I170*'Pesos GPS'!C$13+J170*'Pesos GPS'!C$14+K170*'Pesos GPS'!C$15+L170*'Pesos GPS'!C$16+'Pesos GPS'!C$17)</f>
        <v>0</v>
      </c>
      <c r="O170" s="5">
        <f>MAX(0,I170*'Pesos GPS'!D$13+J170*'Pesos GPS'!D$14+K170*'Pesos GPS'!D$15+L170*'Pesos GPS'!D$16+'Pesos GPS'!D$17)</f>
        <v>0</v>
      </c>
      <c r="P170" s="5">
        <f>MAX(0,I170*'Pesos GPS'!E$13+J170*'Pesos GPS'!E$14+K170*'Pesos GPS'!E$15+L170*'Pesos GPS'!E$16+'Pesos GPS'!E$17)</f>
        <v>0</v>
      </c>
      <c r="Q170" s="5">
        <f>MAX(0,I170*'Pesos GPS'!F$13+J170*'Pesos GPS'!F$14+K170*'Pesos GPS'!F$15+L170*'Pesos GPS'!F$16+'Pesos GPS'!F$17)</f>
        <v>0</v>
      </c>
      <c r="R170" s="5">
        <f>MAX(0,I170*'Pesos GPS'!G$13+J170*'Pesos GPS'!G$14+K170*'Pesos GPS'!G$15+L170*'Pesos GPS'!G$16+'Pesos GPS'!G$17)</f>
        <v>0</v>
      </c>
      <c r="S170" s="5">
        <f>MAX(0,I170*'Pesos GPS'!H$13+J170*'Pesos GPS'!H$14+K170*'Pesos GPS'!H$15+L170*'Pesos GPS'!H$16+'Pesos GPS'!H$17)</f>
        <v>0</v>
      </c>
      <c r="T170" s="5">
        <f>MAX(0,I170*'Pesos GPS'!I$13+J170*'Pesos GPS'!I$14+K170*'Pesos GPS'!I$15+L170*'Pesos GPS'!I$16+'Pesos GPS'!I$17)</f>
        <v>0</v>
      </c>
      <c r="U170" s="5">
        <f>M170*'Pesos GPS'!$B$22+N170*'Pesos GPS'!$B$23+O170*'Pesos GPS'!$B$24+P170*'Pesos GPS'!$B$25+Q170*'Pesos GPS'!$B$26+R170*'Pesos GPS'!$B$27+S170*'Pesos GPS'!$B$28+T170*'Pesos GPS'!$B$29+'Pesos GPS'!$B$30</f>
        <v>2.37807146</v>
      </c>
      <c r="V170" s="5">
        <f t="shared" si="1"/>
        <v>0.9151397857</v>
      </c>
      <c r="W170" s="3">
        <f t="shared" si="2"/>
        <v>1</v>
      </c>
      <c r="X170" s="3">
        <f t="shared" si="3"/>
        <v>1</v>
      </c>
      <c r="Y170" s="9">
        <f t="shared" si="4"/>
        <v>0</v>
      </c>
      <c r="Z170" s="9">
        <v>0.9151397857284129</v>
      </c>
      <c r="AA170" s="3" t="str">
        <f t="shared" si="5"/>
        <v>OK</v>
      </c>
    </row>
    <row r="171" ht="15.75" customHeight="1">
      <c r="A171" s="3">
        <v>170.0</v>
      </c>
      <c r="B171" s="3" t="s">
        <v>20</v>
      </c>
      <c r="C171" s="7">
        <v>35.646742</v>
      </c>
      <c r="D171" s="7">
        <v>139.616627</v>
      </c>
      <c r="E171" s="3">
        <v>1.0</v>
      </c>
      <c r="F171" s="3" t="s">
        <v>55</v>
      </c>
      <c r="G171" s="5">
        <f>(C171-'Pesos GPS'!$L$4)/'Pesos GPS'!$L$5</f>
        <v>-1.011926007</v>
      </c>
      <c r="H171" s="5">
        <f>(D171-'Pesos GPS'!$L$6)/'Pesos GPS'!$L$7</f>
        <v>0.9997006634</v>
      </c>
      <c r="I171" s="5">
        <f>MAX(0,G171*'Pesos GPS'!B$6+H171*'Pesos GPS'!B$7+'Pesos GPS'!B$8)</f>
        <v>0</v>
      </c>
      <c r="J171" s="5">
        <f>MAX(0,G171*'Pesos GPS'!C$6+H171*'Pesos GPS'!C$7+'Pesos GPS'!C$8)</f>
        <v>0</v>
      </c>
      <c r="K171" s="5">
        <f>MAX(0,G171*'Pesos GPS'!D$6+H171*'Pesos GPS'!D$7+'Pesos GPS'!D$8)</f>
        <v>0</v>
      </c>
      <c r="L171" s="5">
        <f>MAX(0,G171*'Pesos GPS'!E$6+H171*'Pesos GPS'!E$7+'Pesos GPS'!E$8)</f>
        <v>0</v>
      </c>
      <c r="M171" s="5">
        <f>MAX(0,I171*'Pesos GPS'!B$13+J171*'Pesos GPS'!B$14+K171*'Pesos GPS'!B$15+L171*'Pesos GPS'!B$16+'Pesos GPS'!B$17)</f>
        <v>0</v>
      </c>
      <c r="N171" s="5">
        <f>MAX(0,I171*'Pesos GPS'!C$13+J171*'Pesos GPS'!C$14+K171*'Pesos GPS'!C$15+L171*'Pesos GPS'!C$16+'Pesos GPS'!C$17)</f>
        <v>0</v>
      </c>
      <c r="O171" s="5">
        <f>MAX(0,I171*'Pesos GPS'!D$13+J171*'Pesos GPS'!D$14+K171*'Pesos GPS'!D$15+L171*'Pesos GPS'!D$16+'Pesos GPS'!D$17)</f>
        <v>0</v>
      </c>
      <c r="P171" s="5">
        <f>MAX(0,I171*'Pesos GPS'!E$13+J171*'Pesos GPS'!E$14+K171*'Pesos GPS'!E$15+L171*'Pesos GPS'!E$16+'Pesos GPS'!E$17)</f>
        <v>0</v>
      </c>
      <c r="Q171" s="5">
        <f>MAX(0,I171*'Pesos GPS'!F$13+J171*'Pesos GPS'!F$14+K171*'Pesos GPS'!F$15+L171*'Pesos GPS'!F$16+'Pesos GPS'!F$17)</f>
        <v>0</v>
      </c>
      <c r="R171" s="5">
        <f>MAX(0,I171*'Pesos GPS'!G$13+J171*'Pesos GPS'!G$14+K171*'Pesos GPS'!G$15+L171*'Pesos GPS'!G$16+'Pesos GPS'!G$17)</f>
        <v>0</v>
      </c>
      <c r="S171" s="5">
        <f>MAX(0,I171*'Pesos GPS'!H$13+J171*'Pesos GPS'!H$14+K171*'Pesos GPS'!H$15+L171*'Pesos GPS'!H$16+'Pesos GPS'!H$17)</f>
        <v>0</v>
      </c>
      <c r="T171" s="5">
        <f>MAX(0,I171*'Pesos GPS'!I$13+J171*'Pesos GPS'!I$14+K171*'Pesos GPS'!I$15+L171*'Pesos GPS'!I$16+'Pesos GPS'!I$17)</f>
        <v>0</v>
      </c>
      <c r="U171" s="5">
        <f>M171*'Pesos GPS'!$B$22+N171*'Pesos GPS'!$B$23+O171*'Pesos GPS'!$B$24+P171*'Pesos GPS'!$B$25+Q171*'Pesos GPS'!$B$26+R171*'Pesos GPS'!$B$27+S171*'Pesos GPS'!$B$28+T171*'Pesos GPS'!$B$29+'Pesos GPS'!$B$30</f>
        <v>2.37807146</v>
      </c>
      <c r="V171" s="5">
        <f t="shared" si="1"/>
        <v>0.9151397857</v>
      </c>
      <c r="W171" s="3">
        <f t="shared" si="2"/>
        <v>1</v>
      </c>
      <c r="X171" s="3">
        <f t="shared" si="3"/>
        <v>1</v>
      </c>
      <c r="Y171" s="9">
        <f t="shared" si="4"/>
        <v>0</v>
      </c>
      <c r="Z171" s="9">
        <v>0.9151397857284129</v>
      </c>
      <c r="AA171" s="3" t="str">
        <f t="shared" si="5"/>
        <v>OK</v>
      </c>
    </row>
    <row r="172" ht="15.75" customHeight="1">
      <c r="A172" s="3">
        <v>171.0</v>
      </c>
      <c r="B172" s="3" t="s">
        <v>20</v>
      </c>
      <c r="C172" s="7">
        <v>35.695759</v>
      </c>
      <c r="D172" s="7">
        <v>139.66247</v>
      </c>
      <c r="E172" s="3">
        <v>1.0</v>
      </c>
      <c r="F172" s="3" t="s">
        <v>55</v>
      </c>
      <c r="G172" s="5">
        <f>(C172-'Pesos GPS'!$L$4)/'Pesos GPS'!$L$5</f>
        <v>-0.9924563019</v>
      </c>
      <c r="H172" s="5">
        <f>(D172-'Pesos GPS'!$L$6)/'Pesos GPS'!$L$7</f>
        <v>1.000129794</v>
      </c>
      <c r="I172" s="5">
        <f>MAX(0,G172*'Pesos GPS'!B$6+H172*'Pesos GPS'!B$7+'Pesos GPS'!B$8)</f>
        <v>0</v>
      </c>
      <c r="J172" s="5">
        <f>MAX(0,G172*'Pesos GPS'!C$6+H172*'Pesos GPS'!C$7+'Pesos GPS'!C$8)</f>
        <v>0</v>
      </c>
      <c r="K172" s="5">
        <f>MAX(0,G172*'Pesos GPS'!D$6+H172*'Pesos GPS'!D$7+'Pesos GPS'!D$8)</f>
        <v>0</v>
      </c>
      <c r="L172" s="5">
        <f>MAX(0,G172*'Pesos GPS'!E$6+H172*'Pesos GPS'!E$7+'Pesos GPS'!E$8)</f>
        <v>0</v>
      </c>
      <c r="M172" s="5">
        <f>MAX(0,I172*'Pesos GPS'!B$13+J172*'Pesos GPS'!B$14+K172*'Pesos GPS'!B$15+L172*'Pesos GPS'!B$16+'Pesos GPS'!B$17)</f>
        <v>0</v>
      </c>
      <c r="N172" s="5">
        <f>MAX(0,I172*'Pesos GPS'!C$13+J172*'Pesos GPS'!C$14+K172*'Pesos GPS'!C$15+L172*'Pesos GPS'!C$16+'Pesos GPS'!C$17)</f>
        <v>0</v>
      </c>
      <c r="O172" s="5">
        <f>MAX(0,I172*'Pesos GPS'!D$13+J172*'Pesos GPS'!D$14+K172*'Pesos GPS'!D$15+L172*'Pesos GPS'!D$16+'Pesos GPS'!D$17)</f>
        <v>0</v>
      </c>
      <c r="P172" s="5">
        <f>MAX(0,I172*'Pesos GPS'!E$13+J172*'Pesos GPS'!E$14+K172*'Pesos GPS'!E$15+L172*'Pesos GPS'!E$16+'Pesos GPS'!E$17)</f>
        <v>0</v>
      </c>
      <c r="Q172" s="5">
        <f>MAX(0,I172*'Pesos GPS'!F$13+J172*'Pesos GPS'!F$14+K172*'Pesos GPS'!F$15+L172*'Pesos GPS'!F$16+'Pesos GPS'!F$17)</f>
        <v>0</v>
      </c>
      <c r="R172" s="5">
        <f>MAX(0,I172*'Pesos GPS'!G$13+J172*'Pesos GPS'!G$14+K172*'Pesos GPS'!G$15+L172*'Pesos GPS'!G$16+'Pesos GPS'!G$17)</f>
        <v>0</v>
      </c>
      <c r="S172" s="5">
        <f>MAX(0,I172*'Pesos GPS'!H$13+J172*'Pesos GPS'!H$14+K172*'Pesos GPS'!H$15+L172*'Pesos GPS'!H$16+'Pesos GPS'!H$17)</f>
        <v>0</v>
      </c>
      <c r="T172" s="5">
        <f>MAX(0,I172*'Pesos GPS'!I$13+J172*'Pesos GPS'!I$14+K172*'Pesos GPS'!I$15+L172*'Pesos GPS'!I$16+'Pesos GPS'!I$17)</f>
        <v>0</v>
      </c>
      <c r="U172" s="5">
        <f>M172*'Pesos GPS'!$B$22+N172*'Pesos GPS'!$B$23+O172*'Pesos GPS'!$B$24+P172*'Pesos GPS'!$B$25+Q172*'Pesos GPS'!$B$26+R172*'Pesos GPS'!$B$27+S172*'Pesos GPS'!$B$28+T172*'Pesos GPS'!$B$29+'Pesos GPS'!$B$30</f>
        <v>2.37807146</v>
      </c>
      <c r="V172" s="5">
        <f t="shared" si="1"/>
        <v>0.9151397857</v>
      </c>
      <c r="W172" s="3">
        <f t="shared" si="2"/>
        <v>1</v>
      </c>
      <c r="X172" s="3">
        <f t="shared" si="3"/>
        <v>1</v>
      </c>
      <c r="Y172" s="9">
        <f t="shared" si="4"/>
        <v>0</v>
      </c>
      <c r="Z172" s="9">
        <v>0.9151397857284129</v>
      </c>
      <c r="AA172" s="3" t="str">
        <f t="shared" si="5"/>
        <v>OK</v>
      </c>
    </row>
    <row r="173" ht="15.75" customHeight="1">
      <c r="A173" s="3">
        <v>172.0</v>
      </c>
      <c r="B173" s="3" t="s">
        <v>20</v>
      </c>
      <c r="C173" s="7">
        <v>35.671434</v>
      </c>
      <c r="D173" s="7">
        <v>139.636052</v>
      </c>
      <c r="E173" s="3">
        <v>1.0</v>
      </c>
      <c r="F173" s="3" t="s">
        <v>55</v>
      </c>
      <c r="G173" s="5">
        <f>(C173-'Pesos GPS'!$L$4)/'Pesos GPS'!$L$5</f>
        <v>-1.002118268</v>
      </c>
      <c r="H173" s="5">
        <f>(D173-'Pesos GPS'!$L$6)/'Pesos GPS'!$L$7</f>
        <v>0.9998824983</v>
      </c>
      <c r="I173" s="5">
        <f>MAX(0,G173*'Pesos GPS'!B$6+H173*'Pesos GPS'!B$7+'Pesos GPS'!B$8)</f>
        <v>0</v>
      </c>
      <c r="J173" s="5">
        <f>MAX(0,G173*'Pesos GPS'!C$6+H173*'Pesos GPS'!C$7+'Pesos GPS'!C$8)</f>
        <v>0</v>
      </c>
      <c r="K173" s="5">
        <f>MAX(0,G173*'Pesos GPS'!D$6+H173*'Pesos GPS'!D$7+'Pesos GPS'!D$8)</f>
        <v>0</v>
      </c>
      <c r="L173" s="5">
        <f>MAX(0,G173*'Pesos GPS'!E$6+H173*'Pesos GPS'!E$7+'Pesos GPS'!E$8)</f>
        <v>0</v>
      </c>
      <c r="M173" s="5">
        <f>MAX(0,I173*'Pesos GPS'!B$13+J173*'Pesos GPS'!B$14+K173*'Pesos GPS'!B$15+L173*'Pesos GPS'!B$16+'Pesos GPS'!B$17)</f>
        <v>0</v>
      </c>
      <c r="N173" s="5">
        <f>MAX(0,I173*'Pesos GPS'!C$13+J173*'Pesos GPS'!C$14+K173*'Pesos GPS'!C$15+L173*'Pesos GPS'!C$16+'Pesos GPS'!C$17)</f>
        <v>0</v>
      </c>
      <c r="O173" s="5">
        <f>MAX(0,I173*'Pesos GPS'!D$13+J173*'Pesos GPS'!D$14+K173*'Pesos GPS'!D$15+L173*'Pesos GPS'!D$16+'Pesos GPS'!D$17)</f>
        <v>0</v>
      </c>
      <c r="P173" s="5">
        <f>MAX(0,I173*'Pesos GPS'!E$13+J173*'Pesos GPS'!E$14+K173*'Pesos GPS'!E$15+L173*'Pesos GPS'!E$16+'Pesos GPS'!E$17)</f>
        <v>0</v>
      </c>
      <c r="Q173" s="5">
        <f>MAX(0,I173*'Pesos GPS'!F$13+J173*'Pesos GPS'!F$14+K173*'Pesos GPS'!F$15+L173*'Pesos GPS'!F$16+'Pesos GPS'!F$17)</f>
        <v>0</v>
      </c>
      <c r="R173" s="5">
        <f>MAX(0,I173*'Pesos GPS'!G$13+J173*'Pesos GPS'!G$14+K173*'Pesos GPS'!G$15+L173*'Pesos GPS'!G$16+'Pesos GPS'!G$17)</f>
        <v>0</v>
      </c>
      <c r="S173" s="5">
        <f>MAX(0,I173*'Pesos GPS'!H$13+J173*'Pesos GPS'!H$14+K173*'Pesos GPS'!H$15+L173*'Pesos GPS'!H$16+'Pesos GPS'!H$17)</f>
        <v>0</v>
      </c>
      <c r="T173" s="5">
        <f>MAX(0,I173*'Pesos GPS'!I$13+J173*'Pesos GPS'!I$14+K173*'Pesos GPS'!I$15+L173*'Pesos GPS'!I$16+'Pesos GPS'!I$17)</f>
        <v>0</v>
      </c>
      <c r="U173" s="5">
        <f>M173*'Pesos GPS'!$B$22+N173*'Pesos GPS'!$B$23+O173*'Pesos GPS'!$B$24+P173*'Pesos GPS'!$B$25+Q173*'Pesos GPS'!$B$26+R173*'Pesos GPS'!$B$27+S173*'Pesos GPS'!$B$28+T173*'Pesos GPS'!$B$29+'Pesos GPS'!$B$30</f>
        <v>2.37807146</v>
      </c>
      <c r="V173" s="5">
        <f t="shared" si="1"/>
        <v>0.9151397857</v>
      </c>
      <c r="W173" s="3">
        <f t="shared" si="2"/>
        <v>1</v>
      </c>
      <c r="X173" s="3">
        <f t="shared" si="3"/>
        <v>1</v>
      </c>
      <c r="Y173" s="9">
        <f t="shared" si="4"/>
        <v>0</v>
      </c>
      <c r="Z173" s="9">
        <v>0.9151397857284129</v>
      </c>
      <c r="AA173" s="3" t="str">
        <f t="shared" si="5"/>
        <v>OK</v>
      </c>
    </row>
    <row r="174" ht="15.75" customHeight="1">
      <c r="A174" s="3">
        <v>173.0</v>
      </c>
      <c r="B174" s="3" t="s">
        <v>20</v>
      </c>
      <c r="C174" s="7">
        <v>35.705481</v>
      </c>
      <c r="D174" s="7">
        <v>139.640347</v>
      </c>
      <c r="E174" s="3">
        <v>1.0</v>
      </c>
      <c r="F174" s="3" t="s">
        <v>55</v>
      </c>
      <c r="G174" s="5">
        <f>(C174-'Pesos GPS'!$L$4)/'Pesos GPS'!$L$5</f>
        <v>-0.9885946932</v>
      </c>
      <c r="H174" s="5">
        <f>(D174-'Pesos GPS'!$L$6)/'Pesos GPS'!$L$7</f>
        <v>0.9999227032</v>
      </c>
      <c r="I174" s="5">
        <f>MAX(0,G174*'Pesos GPS'!B$6+H174*'Pesos GPS'!B$7+'Pesos GPS'!B$8)</f>
        <v>0</v>
      </c>
      <c r="J174" s="5">
        <f>MAX(0,G174*'Pesos GPS'!C$6+H174*'Pesos GPS'!C$7+'Pesos GPS'!C$8)</f>
        <v>0</v>
      </c>
      <c r="K174" s="5">
        <f>MAX(0,G174*'Pesos GPS'!D$6+H174*'Pesos GPS'!D$7+'Pesos GPS'!D$8)</f>
        <v>0</v>
      </c>
      <c r="L174" s="5">
        <f>MAX(0,G174*'Pesos GPS'!E$6+H174*'Pesos GPS'!E$7+'Pesos GPS'!E$8)</f>
        <v>0</v>
      </c>
      <c r="M174" s="5">
        <f>MAX(0,I174*'Pesos GPS'!B$13+J174*'Pesos GPS'!B$14+K174*'Pesos GPS'!B$15+L174*'Pesos GPS'!B$16+'Pesos GPS'!B$17)</f>
        <v>0</v>
      </c>
      <c r="N174" s="5">
        <f>MAX(0,I174*'Pesos GPS'!C$13+J174*'Pesos GPS'!C$14+K174*'Pesos GPS'!C$15+L174*'Pesos GPS'!C$16+'Pesos GPS'!C$17)</f>
        <v>0</v>
      </c>
      <c r="O174" s="5">
        <f>MAX(0,I174*'Pesos GPS'!D$13+J174*'Pesos GPS'!D$14+K174*'Pesos GPS'!D$15+L174*'Pesos GPS'!D$16+'Pesos GPS'!D$17)</f>
        <v>0</v>
      </c>
      <c r="P174" s="5">
        <f>MAX(0,I174*'Pesos GPS'!E$13+J174*'Pesos GPS'!E$14+K174*'Pesos GPS'!E$15+L174*'Pesos GPS'!E$16+'Pesos GPS'!E$17)</f>
        <v>0</v>
      </c>
      <c r="Q174" s="5">
        <f>MAX(0,I174*'Pesos GPS'!F$13+J174*'Pesos GPS'!F$14+K174*'Pesos GPS'!F$15+L174*'Pesos GPS'!F$16+'Pesos GPS'!F$17)</f>
        <v>0</v>
      </c>
      <c r="R174" s="5">
        <f>MAX(0,I174*'Pesos GPS'!G$13+J174*'Pesos GPS'!G$14+K174*'Pesos GPS'!G$15+L174*'Pesos GPS'!G$16+'Pesos GPS'!G$17)</f>
        <v>0</v>
      </c>
      <c r="S174" s="5">
        <f>MAX(0,I174*'Pesos GPS'!H$13+J174*'Pesos GPS'!H$14+K174*'Pesos GPS'!H$15+L174*'Pesos GPS'!H$16+'Pesos GPS'!H$17)</f>
        <v>0</v>
      </c>
      <c r="T174" s="5">
        <f>MAX(0,I174*'Pesos GPS'!I$13+J174*'Pesos GPS'!I$14+K174*'Pesos GPS'!I$15+L174*'Pesos GPS'!I$16+'Pesos GPS'!I$17)</f>
        <v>0</v>
      </c>
      <c r="U174" s="5">
        <f>M174*'Pesos GPS'!$B$22+N174*'Pesos GPS'!$B$23+O174*'Pesos GPS'!$B$24+P174*'Pesos GPS'!$B$25+Q174*'Pesos GPS'!$B$26+R174*'Pesos GPS'!$B$27+S174*'Pesos GPS'!$B$28+T174*'Pesos GPS'!$B$29+'Pesos GPS'!$B$30</f>
        <v>2.37807146</v>
      </c>
      <c r="V174" s="5">
        <f t="shared" si="1"/>
        <v>0.9151397857</v>
      </c>
      <c r="W174" s="3">
        <f t="shared" si="2"/>
        <v>1</v>
      </c>
      <c r="X174" s="3">
        <f t="shared" si="3"/>
        <v>1</v>
      </c>
      <c r="Y174" s="9">
        <f t="shared" si="4"/>
        <v>0</v>
      </c>
      <c r="Z174" s="9">
        <v>0.9151397857284129</v>
      </c>
      <c r="AA174" s="3" t="str">
        <f t="shared" si="5"/>
        <v>OK</v>
      </c>
    </row>
    <row r="175" ht="15.75" customHeight="1">
      <c r="A175" s="3">
        <v>174.0</v>
      </c>
      <c r="B175" s="3" t="s">
        <v>20</v>
      </c>
      <c r="C175" s="7">
        <v>35.694972</v>
      </c>
      <c r="D175" s="7">
        <v>139.656786</v>
      </c>
      <c r="E175" s="3">
        <v>1.0</v>
      </c>
      <c r="F175" s="3" t="s">
        <v>55</v>
      </c>
      <c r="G175" s="5">
        <f>(C175-'Pesos GPS'!$L$4)/'Pesos GPS'!$L$5</f>
        <v>-0.9927689007</v>
      </c>
      <c r="H175" s="5">
        <f>(D175-'Pesos GPS'!$L$6)/'Pesos GPS'!$L$7</f>
        <v>1.000076587</v>
      </c>
      <c r="I175" s="5">
        <f>MAX(0,G175*'Pesos GPS'!B$6+H175*'Pesos GPS'!B$7+'Pesos GPS'!B$8)</f>
        <v>0</v>
      </c>
      <c r="J175" s="5">
        <f>MAX(0,G175*'Pesos GPS'!C$6+H175*'Pesos GPS'!C$7+'Pesos GPS'!C$8)</f>
        <v>0</v>
      </c>
      <c r="K175" s="5">
        <f>MAX(0,G175*'Pesos GPS'!D$6+H175*'Pesos GPS'!D$7+'Pesos GPS'!D$8)</f>
        <v>0</v>
      </c>
      <c r="L175" s="5">
        <f>MAX(0,G175*'Pesos GPS'!E$6+H175*'Pesos GPS'!E$7+'Pesos GPS'!E$8)</f>
        <v>0</v>
      </c>
      <c r="M175" s="5">
        <f>MAX(0,I175*'Pesos GPS'!B$13+J175*'Pesos GPS'!B$14+K175*'Pesos GPS'!B$15+L175*'Pesos GPS'!B$16+'Pesos GPS'!B$17)</f>
        <v>0</v>
      </c>
      <c r="N175" s="5">
        <f>MAX(0,I175*'Pesos GPS'!C$13+J175*'Pesos GPS'!C$14+K175*'Pesos GPS'!C$15+L175*'Pesos GPS'!C$16+'Pesos GPS'!C$17)</f>
        <v>0</v>
      </c>
      <c r="O175" s="5">
        <f>MAX(0,I175*'Pesos GPS'!D$13+J175*'Pesos GPS'!D$14+K175*'Pesos GPS'!D$15+L175*'Pesos GPS'!D$16+'Pesos GPS'!D$17)</f>
        <v>0</v>
      </c>
      <c r="P175" s="5">
        <f>MAX(0,I175*'Pesos GPS'!E$13+J175*'Pesos GPS'!E$14+K175*'Pesos GPS'!E$15+L175*'Pesos GPS'!E$16+'Pesos GPS'!E$17)</f>
        <v>0</v>
      </c>
      <c r="Q175" s="5">
        <f>MAX(0,I175*'Pesos GPS'!F$13+J175*'Pesos GPS'!F$14+K175*'Pesos GPS'!F$15+L175*'Pesos GPS'!F$16+'Pesos GPS'!F$17)</f>
        <v>0</v>
      </c>
      <c r="R175" s="5">
        <f>MAX(0,I175*'Pesos GPS'!G$13+J175*'Pesos GPS'!G$14+K175*'Pesos GPS'!G$15+L175*'Pesos GPS'!G$16+'Pesos GPS'!G$17)</f>
        <v>0</v>
      </c>
      <c r="S175" s="5">
        <f>MAX(0,I175*'Pesos GPS'!H$13+J175*'Pesos GPS'!H$14+K175*'Pesos GPS'!H$15+L175*'Pesos GPS'!H$16+'Pesos GPS'!H$17)</f>
        <v>0</v>
      </c>
      <c r="T175" s="5">
        <f>MAX(0,I175*'Pesos GPS'!I$13+J175*'Pesos GPS'!I$14+K175*'Pesos GPS'!I$15+L175*'Pesos GPS'!I$16+'Pesos GPS'!I$17)</f>
        <v>0</v>
      </c>
      <c r="U175" s="5">
        <f>M175*'Pesos GPS'!$B$22+N175*'Pesos GPS'!$B$23+O175*'Pesos GPS'!$B$24+P175*'Pesos GPS'!$B$25+Q175*'Pesos GPS'!$B$26+R175*'Pesos GPS'!$B$27+S175*'Pesos GPS'!$B$28+T175*'Pesos GPS'!$B$29+'Pesos GPS'!$B$30</f>
        <v>2.37807146</v>
      </c>
      <c r="V175" s="5">
        <f t="shared" si="1"/>
        <v>0.9151397857</v>
      </c>
      <c r="W175" s="3">
        <f t="shared" si="2"/>
        <v>1</v>
      </c>
      <c r="X175" s="3">
        <f t="shared" si="3"/>
        <v>1</v>
      </c>
      <c r="Y175" s="9">
        <f t="shared" si="4"/>
        <v>0</v>
      </c>
      <c r="Z175" s="9">
        <v>0.9151397857284129</v>
      </c>
      <c r="AA175" s="3" t="str">
        <f t="shared" si="5"/>
        <v>OK</v>
      </c>
    </row>
    <row r="176" ht="15.75" customHeight="1">
      <c r="A176" s="3">
        <v>175.0</v>
      </c>
      <c r="B176" s="3" t="s">
        <v>20</v>
      </c>
      <c r="C176" s="7">
        <v>35.721716</v>
      </c>
      <c r="D176" s="7">
        <v>139.671971</v>
      </c>
      <c r="E176" s="3">
        <v>1.0</v>
      </c>
      <c r="F176" s="3" t="s">
        <v>55</v>
      </c>
      <c r="G176" s="5">
        <f>(C176-'Pesos GPS'!$L$4)/'Pesos GPS'!$L$5</f>
        <v>-0.9821461007</v>
      </c>
      <c r="H176" s="5">
        <f>(D176-'Pesos GPS'!$L$6)/'Pesos GPS'!$L$7</f>
        <v>1.000218731</v>
      </c>
      <c r="I176" s="5">
        <f>MAX(0,G176*'Pesos GPS'!B$6+H176*'Pesos GPS'!B$7+'Pesos GPS'!B$8)</f>
        <v>0</v>
      </c>
      <c r="J176" s="5">
        <f>MAX(0,G176*'Pesos GPS'!C$6+H176*'Pesos GPS'!C$7+'Pesos GPS'!C$8)</f>
        <v>0</v>
      </c>
      <c r="K176" s="5">
        <f>MAX(0,G176*'Pesos GPS'!D$6+H176*'Pesos GPS'!D$7+'Pesos GPS'!D$8)</f>
        <v>0</v>
      </c>
      <c r="L176" s="5">
        <f>MAX(0,G176*'Pesos GPS'!E$6+H176*'Pesos GPS'!E$7+'Pesos GPS'!E$8)</f>
        <v>0</v>
      </c>
      <c r="M176" s="5">
        <f>MAX(0,I176*'Pesos GPS'!B$13+J176*'Pesos GPS'!B$14+K176*'Pesos GPS'!B$15+L176*'Pesos GPS'!B$16+'Pesos GPS'!B$17)</f>
        <v>0</v>
      </c>
      <c r="N176" s="5">
        <f>MAX(0,I176*'Pesos GPS'!C$13+J176*'Pesos GPS'!C$14+K176*'Pesos GPS'!C$15+L176*'Pesos GPS'!C$16+'Pesos GPS'!C$17)</f>
        <v>0</v>
      </c>
      <c r="O176" s="5">
        <f>MAX(0,I176*'Pesos GPS'!D$13+J176*'Pesos GPS'!D$14+K176*'Pesos GPS'!D$15+L176*'Pesos GPS'!D$16+'Pesos GPS'!D$17)</f>
        <v>0</v>
      </c>
      <c r="P176" s="5">
        <f>MAX(0,I176*'Pesos GPS'!E$13+J176*'Pesos GPS'!E$14+K176*'Pesos GPS'!E$15+L176*'Pesos GPS'!E$16+'Pesos GPS'!E$17)</f>
        <v>0</v>
      </c>
      <c r="Q176" s="5">
        <f>MAX(0,I176*'Pesos GPS'!F$13+J176*'Pesos GPS'!F$14+K176*'Pesos GPS'!F$15+L176*'Pesos GPS'!F$16+'Pesos GPS'!F$17)</f>
        <v>0</v>
      </c>
      <c r="R176" s="5">
        <f>MAX(0,I176*'Pesos GPS'!G$13+J176*'Pesos GPS'!G$14+K176*'Pesos GPS'!G$15+L176*'Pesos GPS'!G$16+'Pesos GPS'!G$17)</f>
        <v>0</v>
      </c>
      <c r="S176" s="5">
        <f>MAX(0,I176*'Pesos GPS'!H$13+J176*'Pesos GPS'!H$14+K176*'Pesos GPS'!H$15+L176*'Pesos GPS'!H$16+'Pesos GPS'!H$17)</f>
        <v>0</v>
      </c>
      <c r="T176" s="5">
        <f>MAX(0,I176*'Pesos GPS'!I$13+J176*'Pesos GPS'!I$14+K176*'Pesos GPS'!I$15+L176*'Pesos GPS'!I$16+'Pesos GPS'!I$17)</f>
        <v>0</v>
      </c>
      <c r="U176" s="5">
        <f>M176*'Pesos GPS'!$B$22+N176*'Pesos GPS'!$B$23+O176*'Pesos GPS'!$B$24+P176*'Pesos GPS'!$B$25+Q176*'Pesos GPS'!$B$26+R176*'Pesos GPS'!$B$27+S176*'Pesos GPS'!$B$28+T176*'Pesos GPS'!$B$29+'Pesos GPS'!$B$30</f>
        <v>2.37807146</v>
      </c>
      <c r="V176" s="5">
        <f t="shared" si="1"/>
        <v>0.9151397857</v>
      </c>
      <c r="W176" s="3">
        <f t="shared" si="2"/>
        <v>1</v>
      </c>
      <c r="X176" s="3">
        <f t="shared" si="3"/>
        <v>1</v>
      </c>
      <c r="Y176" s="9">
        <f t="shared" si="4"/>
        <v>0</v>
      </c>
      <c r="Z176" s="9">
        <v>0.9151397857284129</v>
      </c>
      <c r="AA176" s="3" t="str">
        <f t="shared" si="5"/>
        <v>OK</v>
      </c>
    </row>
    <row r="177" ht="15.75" customHeight="1">
      <c r="A177" s="3">
        <v>176.0</v>
      </c>
      <c r="B177" s="3" t="s">
        <v>20</v>
      </c>
      <c r="C177" s="7">
        <v>35.694469</v>
      </c>
      <c r="D177" s="7">
        <v>139.638426</v>
      </c>
      <c r="E177" s="3">
        <v>1.0</v>
      </c>
      <c r="F177" s="3" t="s">
        <v>55</v>
      </c>
      <c r="G177" s="5">
        <f>(C177-'Pesos GPS'!$L$4)/'Pesos GPS'!$L$5</f>
        <v>-0.9929686939</v>
      </c>
      <c r="H177" s="5">
        <f>(D177-'Pesos GPS'!$L$6)/'Pesos GPS'!$L$7</f>
        <v>0.999904721</v>
      </c>
      <c r="I177" s="5">
        <f>MAX(0,G177*'Pesos GPS'!B$6+H177*'Pesos GPS'!B$7+'Pesos GPS'!B$8)</f>
        <v>0</v>
      </c>
      <c r="J177" s="5">
        <f>MAX(0,G177*'Pesos GPS'!C$6+H177*'Pesos GPS'!C$7+'Pesos GPS'!C$8)</f>
        <v>0</v>
      </c>
      <c r="K177" s="5">
        <f>MAX(0,G177*'Pesos GPS'!D$6+H177*'Pesos GPS'!D$7+'Pesos GPS'!D$8)</f>
        <v>0</v>
      </c>
      <c r="L177" s="5">
        <f>MAX(0,G177*'Pesos GPS'!E$6+H177*'Pesos GPS'!E$7+'Pesos GPS'!E$8)</f>
        <v>0</v>
      </c>
      <c r="M177" s="5">
        <f>MAX(0,I177*'Pesos GPS'!B$13+J177*'Pesos GPS'!B$14+K177*'Pesos GPS'!B$15+L177*'Pesos GPS'!B$16+'Pesos GPS'!B$17)</f>
        <v>0</v>
      </c>
      <c r="N177" s="5">
        <f>MAX(0,I177*'Pesos GPS'!C$13+J177*'Pesos GPS'!C$14+K177*'Pesos GPS'!C$15+L177*'Pesos GPS'!C$16+'Pesos GPS'!C$17)</f>
        <v>0</v>
      </c>
      <c r="O177" s="5">
        <f>MAX(0,I177*'Pesos GPS'!D$13+J177*'Pesos GPS'!D$14+K177*'Pesos GPS'!D$15+L177*'Pesos GPS'!D$16+'Pesos GPS'!D$17)</f>
        <v>0</v>
      </c>
      <c r="P177" s="5">
        <f>MAX(0,I177*'Pesos GPS'!E$13+J177*'Pesos GPS'!E$14+K177*'Pesos GPS'!E$15+L177*'Pesos GPS'!E$16+'Pesos GPS'!E$17)</f>
        <v>0</v>
      </c>
      <c r="Q177" s="5">
        <f>MAX(0,I177*'Pesos GPS'!F$13+J177*'Pesos GPS'!F$14+K177*'Pesos GPS'!F$15+L177*'Pesos GPS'!F$16+'Pesos GPS'!F$17)</f>
        <v>0</v>
      </c>
      <c r="R177" s="5">
        <f>MAX(0,I177*'Pesos GPS'!G$13+J177*'Pesos GPS'!G$14+K177*'Pesos GPS'!G$15+L177*'Pesos GPS'!G$16+'Pesos GPS'!G$17)</f>
        <v>0</v>
      </c>
      <c r="S177" s="5">
        <f>MAX(0,I177*'Pesos GPS'!H$13+J177*'Pesos GPS'!H$14+K177*'Pesos GPS'!H$15+L177*'Pesos GPS'!H$16+'Pesos GPS'!H$17)</f>
        <v>0</v>
      </c>
      <c r="T177" s="5">
        <f>MAX(0,I177*'Pesos GPS'!I$13+J177*'Pesos GPS'!I$14+K177*'Pesos GPS'!I$15+L177*'Pesos GPS'!I$16+'Pesos GPS'!I$17)</f>
        <v>0</v>
      </c>
      <c r="U177" s="5">
        <f>M177*'Pesos GPS'!$B$22+N177*'Pesos GPS'!$B$23+O177*'Pesos GPS'!$B$24+P177*'Pesos GPS'!$B$25+Q177*'Pesos GPS'!$B$26+R177*'Pesos GPS'!$B$27+S177*'Pesos GPS'!$B$28+T177*'Pesos GPS'!$B$29+'Pesos GPS'!$B$30</f>
        <v>2.37807146</v>
      </c>
      <c r="V177" s="5">
        <f t="shared" si="1"/>
        <v>0.9151397857</v>
      </c>
      <c r="W177" s="3">
        <f t="shared" si="2"/>
        <v>1</v>
      </c>
      <c r="X177" s="3">
        <f t="shared" si="3"/>
        <v>1</v>
      </c>
      <c r="Y177" s="9">
        <f t="shared" si="4"/>
        <v>0</v>
      </c>
      <c r="Z177" s="9">
        <v>0.9151397857284129</v>
      </c>
      <c r="AA177" s="3" t="str">
        <f t="shared" si="5"/>
        <v>OK</v>
      </c>
    </row>
    <row r="178" ht="15.75" customHeight="1">
      <c r="A178" s="3">
        <v>177.0</v>
      </c>
      <c r="B178" s="3" t="s">
        <v>20</v>
      </c>
      <c r="C178" s="7">
        <v>35.636899</v>
      </c>
      <c r="D178" s="7">
        <v>139.687535</v>
      </c>
      <c r="E178" s="3">
        <v>1.0</v>
      </c>
      <c r="F178" s="3" t="s">
        <v>55</v>
      </c>
      <c r="G178" s="5">
        <f>(C178-'Pesos GPS'!$L$4)/'Pesos GPS'!$L$5</f>
        <v>-1.015835677</v>
      </c>
      <c r="H178" s="5">
        <f>(D178-'Pesos GPS'!$L$6)/'Pesos GPS'!$L$7</f>
        <v>1.000364424</v>
      </c>
      <c r="I178" s="5">
        <f>MAX(0,G178*'Pesos GPS'!B$6+H178*'Pesos GPS'!B$7+'Pesos GPS'!B$8)</f>
        <v>0</v>
      </c>
      <c r="J178" s="5">
        <f>MAX(0,G178*'Pesos GPS'!C$6+H178*'Pesos GPS'!C$7+'Pesos GPS'!C$8)</f>
        <v>0</v>
      </c>
      <c r="K178" s="5">
        <f>MAX(0,G178*'Pesos GPS'!D$6+H178*'Pesos GPS'!D$7+'Pesos GPS'!D$8)</f>
        <v>0</v>
      </c>
      <c r="L178" s="5">
        <f>MAX(0,G178*'Pesos GPS'!E$6+H178*'Pesos GPS'!E$7+'Pesos GPS'!E$8)</f>
        <v>0</v>
      </c>
      <c r="M178" s="5">
        <f>MAX(0,I178*'Pesos GPS'!B$13+J178*'Pesos GPS'!B$14+K178*'Pesos GPS'!B$15+L178*'Pesos GPS'!B$16+'Pesos GPS'!B$17)</f>
        <v>0</v>
      </c>
      <c r="N178" s="5">
        <f>MAX(0,I178*'Pesos GPS'!C$13+J178*'Pesos GPS'!C$14+K178*'Pesos GPS'!C$15+L178*'Pesos GPS'!C$16+'Pesos GPS'!C$17)</f>
        <v>0</v>
      </c>
      <c r="O178" s="5">
        <f>MAX(0,I178*'Pesos GPS'!D$13+J178*'Pesos GPS'!D$14+K178*'Pesos GPS'!D$15+L178*'Pesos GPS'!D$16+'Pesos GPS'!D$17)</f>
        <v>0</v>
      </c>
      <c r="P178" s="5">
        <f>MAX(0,I178*'Pesos GPS'!E$13+J178*'Pesos GPS'!E$14+K178*'Pesos GPS'!E$15+L178*'Pesos GPS'!E$16+'Pesos GPS'!E$17)</f>
        <v>0</v>
      </c>
      <c r="Q178" s="5">
        <f>MAX(0,I178*'Pesos GPS'!F$13+J178*'Pesos GPS'!F$14+K178*'Pesos GPS'!F$15+L178*'Pesos GPS'!F$16+'Pesos GPS'!F$17)</f>
        <v>0</v>
      </c>
      <c r="R178" s="5">
        <f>MAX(0,I178*'Pesos GPS'!G$13+J178*'Pesos GPS'!G$14+K178*'Pesos GPS'!G$15+L178*'Pesos GPS'!G$16+'Pesos GPS'!G$17)</f>
        <v>0</v>
      </c>
      <c r="S178" s="5">
        <f>MAX(0,I178*'Pesos GPS'!H$13+J178*'Pesos GPS'!H$14+K178*'Pesos GPS'!H$15+L178*'Pesos GPS'!H$16+'Pesos GPS'!H$17)</f>
        <v>0</v>
      </c>
      <c r="T178" s="5">
        <f>MAX(0,I178*'Pesos GPS'!I$13+J178*'Pesos GPS'!I$14+K178*'Pesos GPS'!I$15+L178*'Pesos GPS'!I$16+'Pesos GPS'!I$17)</f>
        <v>0</v>
      </c>
      <c r="U178" s="5">
        <f>M178*'Pesos GPS'!$B$22+N178*'Pesos GPS'!$B$23+O178*'Pesos GPS'!$B$24+P178*'Pesos GPS'!$B$25+Q178*'Pesos GPS'!$B$26+R178*'Pesos GPS'!$B$27+S178*'Pesos GPS'!$B$28+T178*'Pesos GPS'!$B$29+'Pesos GPS'!$B$30</f>
        <v>2.37807146</v>
      </c>
      <c r="V178" s="5">
        <f t="shared" si="1"/>
        <v>0.9151397857</v>
      </c>
      <c r="W178" s="3">
        <f t="shared" si="2"/>
        <v>1</v>
      </c>
      <c r="X178" s="3">
        <f t="shared" si="3"/>
        <v>1</v>
      </c>
      <c r="Y178" s="9">
        <f t="shared" si="4"/>
        <v>0</v>
      </c>
      <c r="Z178" s="9">
        <v>0.9151397857284129</v>
      </c>
      <c r="AA178" s="3" t="str">
        <f t="shared" si="5"/>
        <v>OK</v>
      </c>
    </row>
    <row r="179" ht="15.75" customHeight="1">
      <c r="A179" s="3">
        <v>178.0</v>
      </c>
      <c r="B179" s="3" t="s">
        <v>20</v>
      </c>
      <c r="C179" s="7">
        <v>35.674526</v>
      </c>
      <c r="D179" s="7">
        <v>139.610332</v>
      </c>
      <c r="E179" s="3">
        <v>1.0</v>
      </c>
      <c r="F179" s="3" t="s">
        <v>55</v>
      </c>
      <c r="G179" s="5">
        <f>(C179-'Pesos GPS'!$L$4)/'Pesos GPS'!$L$5</f>
        <v>-1.000890116</v>
      </c>
      <c r="H179" s="5">
        <f>(D179-'Pesos GPS'!$L$6)/'Pesos GPS'!$L$7</f>
        <v>0.9996417368</v>
      </c>
      <c r="I179" s="5">
        <f>MAX(0,G179*'Pesos GPS'!B$6+H179*'Pesos GPS'!B$7+'Pesos GPS'!B$8)</f>
        <v>0</v>
      </c>
      <c r="J179" s="5">
        <f>MAX(0,G179*'Pesos GPS'!C$6+H179*'Pesos GPS'!C$7+'Pesos GPS'!C$8)</f>
        <v>0</v>
      </c>
      <c r="K179" s="5">
        <f>MAX(0,G179*'Pesos GPS'!D$6+H179*'Pesos GPS'!D$7+'Pesos GPS'!D$8)</f>
        <v>0</v>
      </c>
      <c r="L179" s="5">
        <f>MAX(0,G179*'Pesos GPS'!E$6+H179*'Pesos GPS'!E$7+'Pesos GPS'!E$8)</f>
        <v>0</v>
      </c>
      <c r="M179" s="5">
        <f>MAX(0,I179*'Pesos GPS'!B$13+J179*'Pesos GPS'!B$14+K179*'Pesos GPS'!B$15+L179*'Pesos GPS'!B$16+'Pesos GPS'!B$17)</f>
        <v>0</v>
      </c>
      <c r="N179" s="5">
        <f>MAX(0,I179*'Pesos GPS'!C$13+J179*'Pesos GPS'!C$14+K179*'Pesos GPS'!C$15+L179*'Pesos GPS'!C$16+'Pesos GPS'!C$17)</f>
        <v>0</v>
      </c>
      <c r="O179" s="5">
        <f>MAX(0,I179*'Pesos GPS'!D$13+J179*'Pesos GPS'!D$14+K179*'Pesos GPS'!D$15+L179*'Pesos GPS'!D$16+'Pesos GPS'!D$17)</f>
        <v>0</v>
      </c>
      <c r="P179" s="5">
        <f>MAX(0,I179*'Pesos GPS'!E$13+J179*'Pesos GPS'!E$14+K179*'Pesos GPS'!E$15+L179*'Pesos GPS'!E$16+'Pesos GPS'!E$17)</f>
        <v>0</v>
      </c>
      <c r="Q179" s="5">
        <f>MAX(0,I179*'Pesos GPS'!F$13+J179*'Pesos GPS'!F$14+K179*'Pesos GPS'!F$15+L179*'Pesos GPS'!F$16+'Pesos GPS'!F$17)</f>
        <v>0</v>
      </c>
      <c r="R179" s="5">
        <f>MAX(0,I179*'Pesos GPS'!G$13+J179*'Pesos GPS'!G$14+K179*'Pesos GPS'!G$15+L179*'Pesos GPS'!G$16+'Pesos GPS'!G$17)</f>
        <v>0</v>
      </c>
      <c r="S179" s="5">
        <f>MAX(0,I179*'Pesos GPS'!H$13+J179*'Pesos GPS'!H$14+K179*'Pesos GPS'!H$15+L179*'Pesos GPS'!H$16+'Pesos GPS'!H$17)</f>
        <v>0</v>
      </c>
      <c r="T179" s="5">
        <f>MAX(0,I179*'Pesos GPS'!I$13+J179*'Pesos GPS'!I$14+K179*'Pesos GPS'!I$15+L179*'Pesos GPS'!I$16+'Pesos GPS'!I$17)</f>
        <v>0</v>
      </c>
      <c r="U179" s="5">
        <f>M179*'Pesos GPS'!$B$22+N179*'Pesos GPS'!$B$23+O179*'Pesos GPS'!$B$24+P179*'Pesos GPS'!$B$25+Q179*'Pesos GPS'!$B$26+R179*'Pesos GPS'!$B$27+S179*'Pesos GPS'!$B$28+T179*'Pesos GPS'!$B$29+'Pesos GPS'!$B$30</f>
        <v>2.37807146</v>
      </c>
      <c r="V179" s="5">
        <f t="shared" si="1"/>
        <v>0.9151397857</v>
      </c>
      <c r="W179" s="3">
        <f t="shared" si="2"/>
        <v>1</v>
      </c>
      <c r="X179" s="3">
        <f t="shared" si="3"/>
        <v>1</v>
      </c>
      <c r="Y179" s="9">
        <f t="shared" si="4"/>
        <v>0</v>
      </c>
      <c r="Z179" s="9">
        <v>0.9151397857284129</v>
      </c>
      <c r="AA179" s="3" t="str">
        <f t="shared" si="5"/>
        <v>OK</v>
      </c>
    </row>
    <row r="180" ht="15.75" customHeight="1">
      <c r="A180" s="3">
        <v>179.0</v>
      </c>
      <c r="B180" s="3" t="s">
        <v>20</v>
      </c>
      <c r="C180" s="7">
        <v>35.6469</v>
      </c>
      <c r="D180" s="7">
        <v>139.650522</v>
      </c>
      <c r="E180" s="3">
        <v>1.0</v>
      </c>
      <c r="F180" s="3" t="s">
        <v>55</v>
      </c>
      <c r="G180" s="5">
        <f>(C180-'Pesos GPS'!$L$4)/'Pesos GPS'!$L$5</f>
        <v>-1.011863249</v>
      </c>
      <c r="H180" s="5">
        <f>(D180-'Pesos GPS'!$L$6)/'Pesos GPS'!$L$7</f>
        <v>1.00001795</v>
      </c>
      <c r="I180" s="5">
        <f>MAX(0,G180*'Pesos GPS'!B$6+H180*'Pesos GPS'!B$7+'Pesos GPS'!B$8)</f>
        <v>0</v>
      </c>
      <c r="J180" s="5">
        <f>MAX(0,G180*'Pesos GPS'!C$6+H180*'Pesos GPS'!C$7+'Pesos GPS'!C$8)</f>
        <v>0</v>
      </c>
      <c r="K180" s="5">
        <f>MAX(0,G180*'Pesos GPS'!D$6+H180*'Pesos GPS'!D$7+'Pesos GPS'!D$8)</f>
        <v>0</v>
      </c>
      <c r="L180" s="5">
        <f>MAX(0,G180*'Pesos GPS'!E$6+H180*'Pesos GPS'!E$7+'Pesos GPS'!E$8)</f>
        <v>0</v>
      </c>
      <c r="M180" s="5">
        <f>MAX(0,I180*'Pesos GPS'!B$13+J180*'Pesos GPS'!B$14+K180*'Pesos GPS'!B$15+L180*'Pesos GPS'!B$16+'Pesos GPS'!B$17)</f>
        <v>0</v>
      </c>
      <c r="N180" s="5">
        <f>MAX(0,I180*'Pesos GPS'!C$13+J180*'Pesos GPS'!C$14+K180*'Pesos GPS'!C$15+L180*'Pesos GPS'!C$16+'Pesos GPS'!C$17)</f>
        <v>0</v>
      </c>
      <c r="O180" s="5">
        <f>MAX(0,I180*'Pesos GPS'!D$13+J180*'Pesos GPS'!D$14+K180*'Pesos GPS'!D$15+L180*'Pesos GPS'!D$16+'Pesos GPS'!D$17)</f>
        <v>0</v>
      </c>
      <c r="P180" s="5">
        <f>MAX(0,I180*'Pesos GPS'!E$13+J180*'Pesos GPS'!E$14+K180*'Pesos GPS'!E$15+L180*'Pesos GPS'!E$16+'Pesos GPS'!E$17)</f>
        <v>0</v>
      </c>
      <c r="Q180" s="5">
        <f>MAX(0,I180*'Pesos GPS'!F$13+J180*'Pesos GPS'!F$14+K180*'Pesos GPS'!F$15+L180*'Pesos GPS'!F$16+'Pesos GPS'!F$17)</f>
        <v>0</v>
      </c>
      <c r="R180" s="5">
        <f>MAX(0,I180*'Pesos GPS'!G$13+J180*'Pesos GPS'!G$14+K180*'Pesos GPS'!G$15+L180*'Pesos GPS'!G$16+'Pesos GPS'!G$17)</f>
        <v>0</v>
      </c>
      <c r="S180" s="5">
        <f>MAX(0,I180*'Pesos GPS'!H$13+J180*'Pesos GPS'!H$14+K180*'Pesos GPS'!H$15+L180*'Pesos GPS'!H$16+'Pesos GPS'!H$17)</f>
        <v>0</v>
      </c>
      <c r="T180" s="5">
        <f>MAX(0,I180*'Pesos GPS'!I$13+J180*'Pesos GPS'!I$14+K180*'Pesos GPS'!I$15+L180*'Pesos GPS'!I$16+'Pesos GPS'!I$17)</f>
        <v>0</v>
      </c>
      <c r="U180" s="5">
        <f>M180*'Pesos GPS'!$B$22+N180*'Pesos GPS'!$B$23+O180*'Pesos GPS'!$B$24+P180*'Pesos GPS'!$B$25+Q180*'Pesos GPS'!$B$26+R180*'Pesos GPS'!$B$27+S180*'Pesos GPS'!$B$28+T180*'Pesos GPS'!$B$29+'Pesos GPS'!$B$30</f>
        <v>2.37807146</v>
      </c>
      <c r="V180" s="5">
        <f t="shared" si="1"/>
        <v>0.9151397857</v>
      </c>
      <c r="W180" s="3">
        <f t="shared" si="2"/>
        <v>1</v>
      </c>
      <c r="X180" s="3">
        <f t="shared" si="3"/>
        <v>1</v>
      </c>
      <c r="Y180" s="9">
        <f t="shared" si="4"/>
        <v>0</v>
      </c>
      <c r="Z180" s="9">
        <v>0.9151397857284129</v>
      </c>
      <c r="AA180" s="3" t="str">
        <f t="shared" si="5"/>
        <v>OK</v>
      </c>
    </row>
    <row r="181" ht="15.75" customHeight="1">
      <c r="A181" s="3">
        <v>180.0</v>
      </c>
      <c r="B181" s="3" t="s">
        <v>20</v>
      </c>
      <c r="C181" s="7">
        <v>35.663243</v>
      </c>
      <c r="D181" s="7">
        <v>139.741219</v>
      </c>
      <c r="E181" s="3">
        <v>1.0</v>
      </c>
      <c r="F181" s="3" t="s">
        <v>55</v>
      </c>
      <c r="G181" s="5">
        <f>(C181-'Pesos GPS'!$L$4)/'Pesos GPS'!$L$5</f>
        <v>-1.005371758</v>
      </c>
      <c r="H181" s="5">
        <f>(D181-'Pesos GPS'!$L$6)/'Pesos GPS'!$L$7</f>
        <v>1.000866953</v>
      </c>
      <c r="I181" s="5">
        <f>MAX(0,G181*'Pesos GPS'!B$6+H181*'Pesos GPS'!B$7+'Pesos GPS'!B$8)</f>
        <v>0</v>
      </c>
      <c r="J181" s="5">
        <f>MAX(0,G181*'Pesos GPS'!C$6+H181*'Pesos GPS'!C$7+'Pesos GPS'!C$8)</f>
        <v>0</v>
      </c>
      <c r="K181" s="5">
        <f>MAX(0,G181*'Pesos GPS'!D$6+H181*'Pesos GPS'!D$7+'Pesos GPS'!D$8)</f>
        <v>0</v>
      </c>
      <c r="L181" s="5">
        <f>MAX(0,G181*'Pesos GPS'!E$6+H181*'Pesos GPS'!E$7+'Pesos GPS'!E$8)</f>
        <v>0</v>
      </c>
      <c r="M181" s="5">
        <f>MAX(0,I181*'Pesos GPS'!B$13+J181*'Pesos GPS'!B$14+K181*'Pesos GPS'!B$15+L181*'Pesos GPS'!B$16+'Pesos GPS'!B$17)</f>
        <v>0</v>
      </c>
      <c r="N181" s="5">
        <f>MAX(0,I181*'Pesos GPS'!C$13+J181*'Pesos GPS'!C$14+K181*'Pesos GPS'!C$15+L181*'Pesos GPS'!C$16+'Pesos GPS'!C$17)</f>
        <v>0</v>
      </c>
      <c r="O181" s="5">
        <f>MAX(0,I181*'Pesos GPS'!D$13+J181*'Pesos GPS'!D$14+K181*'Pesos GPS'!D$15+L181*'Pesos GPS'!D$16+'Pesos GPS'!D$17)</f>
        <v>0</v>
      </c>
      <c r="P181" s="5">
        <f>MAX(0,I181*'Pesos GPS'!E$13+J181*'Pesos GPS'!E$14+K181*'Pesos GPS'!E$15+L181*'Pesos GPS'!E$16+'Pesos GPS'!E$17)</f>
        <v>0</v>
      </c>
      <c r="Q181" s="5">
        <f>MAX(0,I181*'Pesos GPS'!F$13+J181*'Pesos GPS'!F$14+K181*'Pesos GPS'!F$15+L181*'Pesos GPS'!F$16+'Pesos GPS'!F$17)</f>
        <v>0</v>
      </c>
      <c r="R181" s="5">
        <f>MAX(0,I181*'Pesos GPS'!G$13+J181*'Pesos GPS'!G$14+K181*'Pesos GPS'!G$15+L181*'Pesos GPS'!G$16+'Pesos GPS'!G$17)</f>
        <v>0</v>
      </c>
      <c r="S181" s="5">
        <f>MAX(0,I181*'Pesos GPS'!H$13+J181*'Pesos GPS'!H$14+K181*'Pesos GPS'!H$15+L181*'Pesos GPS'!H$16+'Pesos GPS'!H$17)</f>
        <v>0</v>
      </c>
      <c r="T181" s="5">
        <f>MAX(0,I181*'Pesos GPS'!I$13+J181*'Pesos GPS'!I$14+K181*'Pesos GPS'!I$15+L181*'Pesos GPS'!I$16+'Pesos GPS'!I$17)</f>
        <v>0</v>
      </c>
      <c r="U181" s="5">
        <f>M181*'Pesos GPS'!$B$22+N181*'Pesos GPS'!$B$23+O181*'Pesos GPS'!$B$24+P181*'Pesos GPS'!$B$25+Q181*'Pesos GPS'!$B$26+R181*'Pesos GPS'!$B$27+S181*'Pesos GPS'!$B$28+T181*'Pesos GPS'!$B$29+'Pesos GPS'!$B$30</f>
        <v>2.37807146</v>
      </c>
      <c r="V181" s="5">
        <f t="shared" si="1"/>
        <v>0.9151397857</v>
      </c>
      <c r="W181" s="3">
        <f t="shared" si="2"/>
        <v>1</v>
      </c>
      <c r="X181" s="3">
        <f t="shared" si="3"/>
        <v>1</v>
      </c>
      <c r="Y181" s="9">
        <f t="shared" si="4"/>
        <v>0</v>
      </c>
      <c r="Z181" s="9">
        <v>0.9151397857284129</v>
      </c>
      <c r="AA181" s="3" t="str">
        <f t="shared" si="5"/>
        <v>OK</v>
      </c>
    </row>
    <row r="182" ht="15.75" customHeight="1">
      <c r="A182" s="3">
        <v>181.0</v>
      </c>
      <c r="B182" s="3" t="s">
        <v>20</v>
      </c>
      <c r="C182" s="7">
        <v>35.713981</v>
      </c>
      <c r="D182" s="7">
        <v>139.658108</v>
      </c>
      <c r="E182" s="3">
        <v>1.0</v>
      </c>
      <c r="F182" s="3" t="s">
        <v>55</v>
      </c>
      <c r="G182" s="5">
        <f>(C182-'Pesos GPS'!$L$4)/'Pesos GPS'!$L$5</f>
        <v>-0.9852184667</v>
      </c>
      <c r="H182" s="5">
        <f>(D182-'Pesos GPS'!$L$6)/'Pesos GPS'!$L$7</f>
        <v>1.000088962</v>
      </c>
      <c r="I182" s="5">
        <f>MAX(0,G182*'Pesos GPS'!B$6+H182*'Pesos GPS'!B$7+'Pesos GPS'!B$8)</f>
        <v>0</v>
      </c>
      <c r="J182" s="5">
        <f>MAX(0,G182*'Pesos GPS'!C$6+H182*'Pesos GPS'!C$7+'Pesos GPS'!C$8)</f>
        <v>0</v>
      </c>
      <c r="K182" s="5">
        <f>MAX(0,G182*'Pesos GPS'!D$6+H182*'Pesos GPS'!D$7+'Pesos GPS'!D$8)</f>
        <v>0</v>
      </c>
      <c r="L182" s="5">
        <f>MAX(0,G182*'Pesos GPS'!E$6+H182*'Pesos GPS'!E$7+'Pesos GPS'!E$8)</f>
        <v>0</v>
      </c>
      <c r="M182" s="5">
        <f>MAX(0,I182*'Pesos GPS'!B$13+J182*'Pesos GPS'!B$14+K182*'Pesos GPS'!B$15+L182*'Pesos GPS'!B$16+'Pesos GPS'!B$17)</f>
        <v>0</v>
      </c>
      <c r="N182" s="5">
        <f>MAX(0,I182*'Pesos GPS'!C$13+J182*'Pesos GPS'!C$14+K182*'Pesos GPS'!C$15+L182*'Pesos GPS'!C$16+'Pesos GPS'!C$17)</f>
        <v>0</v>
      </c>
      <c r="O182" s="5">
        <f>MAX(0,I182*'Pesos GPS'!D$13+J182*'Pesos GPS'!D$14+K182*'Pesos GPS'!D$15+L182*'Pesos GPS'!D$16+'Pesos GPS'!D$17)</f>
        <v>0</v>
      </c>
      <c r="P182" s="5">
        <f>MAX(0,I182*'Pesos GPS'!E$13+J182*'Pesos GPS'!E$14+K182*'Pesos GPS'!E$15+L182*'Pesos GPS'!E$16+'Pesos GPS'!E$17)</f>
        <v>0</v>
      </c>
      <c r="Q182" s="5">
        <f>MAX(0,I182*'Pesos GPS'!F$13+J182*'Pesos GPS'!F$14+K182*'Pesos GPS'!F$15+L182*'Pesos GPS'!F$16+'Pesos GPS'!F$17)</f>
        <v>0</v>
      </c>
      <c r="R182" s="5">
        <f>MAX(0,I182*'Pesos GPS'!G$13+J182*'Pesos GPS'!G$14+K182*'Pesos GPS'!G$15+L182*'Pesos GPS'!G$16+'Pesos GPS'!G$17)</f>
        <v>0</v>
      </c>
      <c r="S182" s="5">
        <f>MAX(0,I182*'Pesos GPS'!H$13+J182*'Pesos GPS'!H$14+K182*'Pesos GPS'!H$15+L182*'Pesos GPS'!H$16+'Pesos GPS'!H$17)</f>
        <v>0</v>
      </c>
      <c r="T182" s="5">
        <f>MAX(0,I182*'Pesos GPS'!I$13+J182*'Pesos GPS'!I$14+K182*'Pesos GPS'!I$15+L182*'Pesos GPS'!I$16+'Pesos GPS'!I$17)</f>
        <v>0</v>
      </c>
      <c r="U182" s="5">
        <f>M182*'Pesos GPS'!$B$22+N182*'Pesos GPS'!$B$23+O182*'Pesos GPS'!$B$24+P182*'Pesos GPS'!$B$25+Q182*'Pesos GPS'!$B$26+R182*'Pesos GPS'!$B$27+S182*'Pesos GPS'!$B$28+T182*'Pesos GPS'!$B$29+'Pesos GPS'!$B$30</f>
        <v>2.37807146</v>
      </c>
      <c r="V182" s="5">
        <f t="shared" si="1"/>
        <v>0.9151397857</v>
      </c>
      <c r="W182" s="3">
        <f t="shared" si="2"/>
        <v>1</v>
      </c>
      <c r="X182" s="3">
        <f t="shared" si="3"/>
        <v>1</v>
      </c>
      <c r="Y182" s="9">
        <f t="shared" si="4"/>
        <v>0</v>
      </c>
      <c r="Z182" s="9">
        <v>0.9151397857284129</v>
      </c>
      <c r="AA182" s="3" t="str">
        <f t="shared" si="5"/>
        <v>OK</v>
      </c>
    </row>
    <row r="183" ht="15.75" customHeight="1">
      <c r="A183" s="3">
        <v>182.0</v>
      </c>
      <c r="B183" s="3" t="s">
        <v>20</v>
      </c>
      <c r="C183" s="7">
        <v>35.692138</v>
      </c>
      <c r="D183" s="7">
        <v>139.700463</v>
      </c>
      <c r="E183" s="3">
        <v>1.0</v>
      </c>
      <c r="F183" s="3" t="s">
        <v>55</v>
      </c>
      <c r="G183" s="5">
        <f>(C183-'Pesos GPS'!$L$4)/'Pesos GPS'!$L$5</f>
        <v>-0.9938945743</v>
      </c>
      <c r="H183" s="5">
        <f>(D183-'Pesos GPS'!$L$6)/'Pesos GPS'!$L$7</f>
        <v>1.000485441</v>
      </c>
      <c r="I183" s="5">
        <f>MAX(0,G183*'Pesos GPS'!B$6+H183*'Pesos GPS'!B$7+'Pesos GPS'!B$8)</f>
        <v>0</v>
      </c>
      <c r="J183" s="5">
        <f>MAX(0,G183*'Pesos GPS'!C$6+H183*'Pesos GPS'!C$7+'Pesos GPS'!C$8)</f>
        <v>0</v>
      </c>
      <c r="K183" s="5">
        <f>MAX(0,G183*'Pesos GPS'!D$6+H183*'Pesos GPS'!D$7+'Pesos GPS'!D$8)</f>
        <v>0</v>
      </c>
      <c r="L183" s="5">
        <f>MAX(0,G183*'Pesos GPS'!E$6+H183*'Pesos GPS'!E$7+'Pesos GPS'!E$8)</f>
        <v>0</v>
      </c>
      <c r="M183" s="5">
        <f>MAX(0,I183*'Pesos GPS'!B$13+J183*'Pesos GPS'!B$14+K183*'Pesos GPS'!B$15+L183*'Pesos GPS'!B$16+'Pesos GPS'!B$17)</f>
        <v>0</v>
      </c>
      <c r="N183" s="5">
        <f>MAX(0,I183*'Pesos GPS'!C$13+J183*'Pesos GPS'!C$14+K183*'Pesos GPS'!C$15+L183*'Pesos GPS'!C$16+'Pesos GPS'!C$17)</f>
        <v>0</v>
      </c>
      <c r="O183" s="5">
        <f>MAX(0,I183*'Pesos GPS'!D$13+J183*'Pesos GPS'!D$14+K183*'Pesos GPS'!D$15+L183*'Pesos GPS'!D$16+'Pesos GPS'!D$17)</f>
        <v>0</v>
      </c>
      <c r="P183" s="5">
        <f>MAX(0,I183*'Pesos GPS'!E$13+J183*'Pesos GPS'!E$14+K183*'Pesos GPS'!E$15+L183*'Pesos GPS'!E$16+'Pesos GPS'!E$17)</f>
        <v>0</v>
      </c>
      <c r="Q183" s="5">
        <f>MAX(0,I183*'Pesos GPS'!F$13+J183*'Pesos GPS'!F$14+K183*'Pesos GPS'!F$15+L183*'Pesos GPS'!F$16+'Pesos GPS'!F$17)</f>
        <v>0</v>
      </c>
      <c r="R183" s="5">
        <f>MAX(0,I183*'Pesos GPS'!G$13+J183*'Pesos GPS'!G$14+K183*'Pesos GPS'!G$15+L183*'Pesos GPS'!G$16+'Pesos GPS'!G$17)</f>
        <v>0</v>
      </c>
      <c r="S183" s="5">
        <f>MAX(0,I183*'Pesos GPS'!H$13+J183*'Pesos GPS'!H$14+K183*'Pesos GPS'!H$15+L183*'Pesos GPS'!H$16+'Pesos GPS'!H$17)</f>
        <v>0</v>
      </c>
      <c r="T183" s="5">
        <f>MAX(0,I183*'Pesos GPS'!I$13+J183*'Pesos GPS'!I$14+K183*'Pesos GPS'!I$15+L183*'Pesos GPS'!I$16+'Pesos GPS'!I$17)</f>
        <v>0</v>
      </c>
      <c r="U183" s="5">
        <f>M183*'Pesos GPS'!$B$22+N183*'Pesos GPS'!$B$23+O183*'Pesos GPS'!$B$24+P183*'Pesos GPS'!$B$25+Q183*'Pesos GPS'!$B$26+R183*'Pesos GPS'!$B$27+S183*'Pesos GPS'!$B$28+T183*'Pesos GPS'!$B$29+'Pesos GPS'!$B$30</f>
        <v>2.37807146</v>
      </c>
      <c r="V183" s="5">
        <f t="shared" si="1"/>
        <v>0.9151397857</v>
      </c>
      <c r="W183" s="3">
        <f t="shared" si="2"/>
        <v>1</v>
      </c>
      <c r="X183" s="3">
        <f t="shared" si="3"/>
        <v>1</v>
      </c>
      <c r="Y183" s="9">
        <f t="shared" si="4"/>
        <v>0</v>
      </c>
      <c r="Z183" s="9">
        <v>0.9151397857284129</v>
      </c>
      <c r="AA183" s="3" t="str">
        <f t="shared" si="5"/>
        <v>OK</v>
      </c>
    </row>
    <row r="184" ht="15.75" customHeight="1">
      <c r="A184" s="3">
        <v>183.0</v>
      </c>
      <c r="B184" s="3" t="s">
        <v>20</v>
      </c>
      <c r="C184" s="7">
        <v>35.658727</v>
      </c>
      <c r="D184" s="7">
        <v>139.653503</v>
      </c>
      <c r="E184" s="3">
        <v>1.0</v>
      </c>
      <c r="F184" s="3" t="s">
        <v>55</v>
      </c>
      <c r="G184" s="5">
        <f>(C184-'Pesos GPS'!$L$4)/'Pesos GPS'!$L$5</f>
        <v>-1.007165528</v>
      </c>
      <c r="H184" s="5">
        <f>(D184-'Pesos GPS'!$L$6)/'Pesos GPS'!$L$7</f>
        <v>1.000045855</v>
      </c>
      <c r="I184" s="5">
        <f>MAX(0,G184*'Pesos GPS'!B$6+H184*'Pesos GPS'!B$7+'Pesos GPS'!B$8)</f>
        <v>0</v>
      </c>
      <c r="J184" s="5">
        <f>MAX(0,G184*'Pesos GPS'!C$6+H184*'Pesos GPS'!C$7+'Pesos GPS'!C$8)</f>
        <v>0</v>
      </c>
      <c r="K184" s="5">
        <f>MAX(0,G184*'Pesos GPS'!D$6+H184*'Pesos GPS'!D$7+'Pesos GPS'!D$8)</f>
        <v>0</v>
      </c>
      <c r="L184" s="5">
        <f>MAX(0,G184*'Pesos GPS'!E$6+H184*'Pesos GPS'!E$7+'Pesos GPS'!E$8)</f>
        <v>0</v>
      </c>
      <c r="M184" s="5">
        <f>MAX(0,I184*'Pesos GPS'!B$13+J184*'Pesos GPS'!B$14+K184*'Pesos GPS'!B$15+L184*'Pesos GPS'!B$16+'Pesos GPS'!B$17)</f>
        <v>0</v>
      </c>
      <c r="N184" s="5">
        <f>MAX(0,I184*'Pesos GPS'!C$13+J184*'Pesos GPS'!C$14+K184*'Pesos GPS'!C$15+L184*'Pesos GPS'!C$16+'Pesos GPS'!C$17)</f>
        <v>0</v>
      </c>
      <c r="O184" s="5">
        <f>MAX(0,I184*'Pesos GPS'!D$13+J184*'Pesos GPS'!D$14+K184*'Pesos GPS'!D$15+L184*'Pesos GPS'!D$16+'Pesos GPS'!D$17)</f>
        <v>0</v>
      </c>
      <c r="P184" s="5">
        <f>MAX(0,I184*'Pesos GPS'!E$13+J184*'Pesos GPS'!E$14+K184*'Pesos GPS'!E$15+L184*'Pesos GPS'!E$16+'Pesos GPS'!E$17)</f>
        <v>0</v>
      </c>
      <c r="Q184" s="5">
        <f>MAX(0,I184*'Pesos GPS'!F$13+J184*'Pesos GPS'!F$14+K184*'Pesos GPS'!F$15+L184*'Pesos GPS'!F$16+'Pesos GPS'!F$17)</f>
        <v>0</v>
      </c>
      <c r="R184" s="5">
        <f>MAX(0,I184*'Pesos GPS'!G$13+J184*'Pesos GPS'!G$14+K184*'Pesos GPS'!G$15+L184*'Pesos GPS'!G$16+'Pesos GPS'!G$17)</f>
        <v>0</v>
      </c>
      <c r="S184" s="5">
        <f>MAX(0,I184*'Pesos GPS'!H$13+J184*'Pesos GPS'!H$14+K184*'Pesos GPS'!H$15+L184*'Pesos GPS'!H$16+'Pesos GPS'!H$17)</f>
        <v>0</v>
      </c>
      <c r="T184" s="5">
        <f>MAX(0,I184*'Pesos GPS'!I$13+J184*'Pesos GPS'!I$14+K184*'Pesos GPS'!I$15+L184*'Pesos GPS'!I$16+'Pesos GPS'!I$17)</f>
        <v>0</v>
      </c>
      <c r="U184" s="5">
        <f>M184*'Pesos GPS'!$B$22+N184*'Pesos GPS'!$B$23+O184*'Pesos GPS'!$B$24+P184*'Pesos GPS'!$B$25+Q184*'Pesos GPS'!$B$26+R184*'Pesos GPS'!$B$27+S184*'Pesos GPS'!$B$28+T184*'Pesos GPS'!$B$29+'Pesos GPS'!$B$30</f>
        <v>2.37807146</v>
      </c>
      <c r="V184" s="5">
        <f t="shared" si="1"/>
        <v>0.9151397857</v>
      </c>
      <c r="W184" s="3">
        <f t="shared" si="2"/>
        <v>1</v>
      </c>
      <c r="X184" s="3">
        <f t="shared" si="3"/>
        <v>1</v>
      </c>
      <c r="Y184" s="9">
        <f t="shared" si="4"/>
        <v>0</v>
      </c>
      <c r="Z184" s="9">
        <v>0.9151397857284129</v>
      </c>
      <c r="AA184" s="3" t="str">
        <f t="shared" si="5"/>
        <v>OK</v>
      </c>
    </row>
    <row r="185" ht="15.75" customHeight="1">
      <c r="A185" s="3">
        <v>184.0</v>
      </c>
      <c r="B185" s="3" t="s">
        <v>20</v>
      </c>
      <c r="C185" s="7">
        <v>35.650857</v>
      </c>
      <c r="D185" s="7">
        <v>139.670627</v>
      </c>
      <c r="E185" s="3">
        <v>1.0</v>
      </c>
      <c r="F185" s="3" t="s">
        <v>55</v>
      </c>
      <c r="G185" s="5">
        <f>(C185-'Pesos GPS'!$L$4)/'Pesos GPS'!$L$5</f>
        <v>-1.010291516</v>
      </c>
      <c r="H185" s="5">
        <f>(D185-'Pesos GPS'!$L$6)/'Pesos GPS'!$L$7</f>
        <v>1.00020615</v>
      </c>
      <c r="I185" s="5">
        <f>MAX(0,G185*'Pesos GPS'!B$6+H185*'Pesos GPS'!B$7+'Pesos GPS'!B$8)</f>
        <v>0</v>
      </c>
      <c r="J185" s="5">
        <f>MAX(0,G185*'Pesos GPS'!C$6+H185*'Pesos GPS'!C$7+'Pesos GPS'!C$8)</f>
        <v>0</v>
      </c>
      <c r="K185" s="5">
        <f>MAX(0,G185*'Pesos GPS'!D$6+H185*'Pesos GPS'!D$7+'Pesos GPS'!D$8)</f>
        <v>0</v>
      </c>
      <c r="L185" s="5">
        <f>MAX(0,G185*'Pesos GPS'!E$6+H185*'Pesos GPS'!E$7+'Pesos GPS'!E$8)</f>
        <v>0</v>
      </c>
      <c r="M185" s="5">
        <f>MAX(0,I185*'Pesos GPS'!B$13+J185*'Pesos GPS'!B$14+K185*'Pesos GPS'!B$15+L185*'Pesos GPS'!B$16+'Pesos GPS'!B$17)</f>
        <v>0</v>
      </c>
      <c r="N185" s="5">
        <f>MAX(0,I185*'Pesos GPS'!C$13+J185*'Pesos GPS'!C$14+K185*'Pesos GPS'!C$15+L185*'Pesos GPS'!C$16+'Pesos GPS'!C$17)</f>
        <v>0</v>
      </c>
      <c r="O185" s="5">
        <f>MAX(0,I185*'Pesos GPS'!D$13+J185*'Pesos GPS'!D$14+K185*'Pesos GPS'!D$15+L185*'Pesos GPS'!D$16+'Pesos GPS'!D$17)</f>
        <v>0</v>
      </c>
      <c r="P185" s="5">
        <f>MAX(0,I185*'Pesos GPS'!E$13+J185*'Pesos GPS'!E$14+K185*'Pesos GPS'!E$15+L185*'Pesos GPS'!E$16+'Pesos GPS'!E$17)</f>
        <v>0</v>
      </c>
      <c r="Q185" s="5">
        <f>MAX(0,I185*'Pesos GPS'!F$13+J185*'Pesos GPS'!F$14+K185*'Pesos GPS'!F$15+L185*'Pesos GPS'!F$16+'Pesos GPS'!F$17)</f>
        <v>0</v>
      </c>
      <c r="R185" s="5">
        <f>MAX(0,I185*'Pesos GPS'!G$13+J185*'Pesos GPS'!G$14+K185*'Pesos GPS'!G$15+L185*'Pesos GPS'!G$16+'Pesos GPS'!G$17)</f>
        <v>0</v>
      </c>
      <c r="S185" s="5">
        <f>MAX(0,I185*'Pesos GPS'!H$13+J185*'Pesos GPS'!H$14+K185*'Pesos GPS'!H$15+L185*'Pesos GPS'!H$16+'Pesos GPS'!H$17)</f>
        <v>0</v>
      </c>
      <c r="T185" s="5">
        <f>MAX(0,I185*'Pesos GPS'!I$13+J185*'Pesos GPS'!I$14+K185*'Pesos GPS'!I$15+L185*'Pesos GPS'!I$16+'Pesos GPS'!I$17)</f>
        <v>0</v>
      </c>
      <c r="U185" s="5">
        <f>M185*'Pesos GPS'!$B$22+N185*'Pesos GPS'!$B$23+O185*'Pesos GPS'!$B$24+P185*'Pesos GPS'!$B$25+Q185*'Pesos GPS'!$B$26+R185*'Pesos GPS'!$B$27+S185*'Pesos GPS'!$B$28+T185*'Pesos GPS'!$B$29+'Pesos GPS'!$B$30</f>
        <v>2.37807146</v>
      </c>
      <c r="V185" s="5">
        <f t="shared" si="1"/>
        <v>0.9151397857</v>
      </c>
      <c r="W185" s="3">
        <f t="shared" si="2"/>
        <v>1</v>
      </c>
      <c r="X185" s="3">
        <f t="shared" si="3"/>
        <v>1</v>
      </c>
      <c r="Y185" s="9">
        <f t="shared" si="4"/>
        <v>0</v>
      </c>
      <c r="Z185" s="9">
        <v>0.9151397857284129</v>
      </c>
      <c r="AA185" s="3" t="str">
        <f t="shared" si="5"/>
        <v>OK</v>
      </c>
    </row>
    <row r="186" ht="15.75" customHeight="1">
      <c r="A186" s="3">
        <v>185.0</v>
      </c>
      <c r="B186" s="3" t="s">
        <v>20</v>
      </c>
      <c r="C186" s="7">
        <v>35.67702</v>
      </c>
      <c r="D186" s="7">
        <v>139.648313</v>
      </c>
      <c r="E186" s="3">
        <v>1.0</v>
      </c>
      <c r="F186" s="3" t="s">
        <v>55</v>
      </c>
      <c r="G186" s="5">
        <f>(C186-'Pesos GPS'!$L$4)/'Pesos GPS'!$L$5</f>
        <v>-0.999899491</v>
      </c>
      <c r="H186" s="5">
        <f>(D186-'Pesos GPS'!$L$6)/'Pesos GPS'!$L$7</f>
        <v>0.9999972719</v>
      </c>
      <c r="I186" s="5">
        <f>MAX(0,G186*'Pesos GPS'!B$6+H186*'Pesos GPS'!B$7+'Pesos GPS'!B$8)</f>
        <v>0</v>
      </c>
      <c r="J186" s="5">
        <f>MAX(0,G186*'Pesos GPS'!C$6+H186*'Pesos GPS'!C$7+'Pesos GPS'!C$8)</f>
        <v>0</v>
      </c>
      <c r="K186" s="5">
        <f>MAX(0,G186*'Pesos GPS'!D$6+H186*'Pesos GPS'!D$7+'Pesos GPS'!D$8)</f>
        <v>0</v>
      </c>
      <c r="L186" s="5">
        <f>MAX(0,G186*'Pesos GPS'!E$6+H186*'Pesos GPS'!E$7+'Pesos GPS'!E$8)</f>
        <v>0</v>
      </c>
      <c r="M186" s="5">
        <f>MAX(0,I186*'Pesos GPS'!B$13+J186*'Pesos GPS'!B$14+K186*'Pesos GPS'!B$15+L186*'Pesos GPS'!B$16+'Pesos GPS'!B$17)</f>
        <v>0</v>
      </c>
      <c r="N186" s="5">
        <f>MAX(0,I186*'Pesos GPS'!C$13+J186*'Pesos GPS'!C$14+K186*'Pesos GPS'!C$15+L186*'Pesos GPS'!C$16+'Pesos GPS'!C$17)</f>
        <v>0</v>
      </c>
      <c r="O186" s="5">
        <f>MAX(0,I186*'Pesos GPS'!D$13+J186*'Pesos GPS'!D$14+K186*'Pesos GPS'!D$15+L186*'Pesos GPS'!D$16+'Pesos GPS'!D$17)</f>
        <v>0</v>
      </c>
      <c r="P186" s="5">
        <f>MAX(0,I186*'Pesos GPS'!E$13+J186*'Pesos GPS'!E$14+K186*'Pesos GPS'!E$15+L186*'Pesos GPS'!E$16+'Pesos GPS'!E$17)</f>
        <v>0</v>
      </c>
      <c r="Q186" s="5">
        <f>MAX(0,I186*'Pesos GPS'!F$13+J186*'Pesos GPS'!F$14+K186*'Pesos GPS'!F$15+L186*'Pesos GPS'!F$16+'Pesos GPS'!F$17)</f>
        <v>0</v>
      </c>
      <c r="R186" s="5">
        <f>MAX(0,I186*'Pesos GPS'!G$13+J186*'Pesos GPS'!G$14+K186*'Pesos GPS'!G$15+L186*'Pesos GPS'!G$16+'Pesos GPS'!G$17)</f>
        <v>0</v>
      </c>
      <c r="S186" s="5">
        <f>MAX(0,I186*'Pesos GPS'!H$13+J186*'Pesos GPS'!H$14+K186*'Pesos GPS'!H$15+L186*'Pesos GPS'!H$16+'Pesos GPS'!H$17)</f>
        <v>0</v>
      </c>
      <c r="T186" s="5">
        <f>MAX(0,I186*'Pesos GPS'!I$13+J186*'Pesos GPS'!I$14+K186*'Pesos GPS'!I$15+L186*'Pesos GPS'!I$16+'Pesos GPS'!I$17)</f>
        <v>0</v>
      </c>
      <c r="U186" s="5">
        <f>M186*'Pesos GPS'!$B$22+N186*'Pesos GPS'!$B$23+O186*'Pesos GPS'!$B$24+P186*'Pesos GPS'!$B$25+Q186*'Pesos GPS'!$B$26+R186*'Pesos GPS'!$B$27+S186*'Pesos GPS'!$B$28+T186*'Pesos GPS'!$B$29+'Pesos GPS'!$B$30</f>
        <v>2.37807146</v>
      </c>
      <c r="V186" s="5">
        <f t="shared" si="1"/>
        <v>0.9151397857</v>
      </c>
      <c r="W186" s="3">
        <f t="shared" si="2"/>
        <v>1</v>
      </c>
      <c r="X186" s="3">
        <f t="shared" si="3"/>
        <v>1</v>
      </c>
      <c r="Y186" s="9">
        <f t="shared" si="4"/>
        <v>0</v>
      </c>
      <c r="Z186" s="9">
        <v>0.9151397857284129</v>
      </c>
      <c r="AA186" s="3" t="str">
        <f t="shared" si="5"/>
        <v>OK</v>
      </c>
    </row>
    <row r="187" ht="15.75" customHeight="1">
      <c r="A187" s="3">
        <v>186.0</v>
      </c>
      <c r="B187" s="3" t="s">
        <v>20</v>
      </c>
      <c r="C187" s="7">
        <v>35.645786</v>
      </c>
      <c r="D187" s="7">
        <v>139.644336</v>
      </c>
      <c r="E187" s="3">
        <v>1.0</v>
      </c>
      <c r="F187" s="3" t="s">
        <v>55</v>
      </c>
      <c r="G187" s="5">
        <f>(C187-'Pesos GPS'!$L$4)/'Pesos GPS'!$L$5</f>
        <v>-1.012305733</v>
      </c>
      <c r="H187" s="5">
        <f>(D187-'Pesos GPS'!$L$6)/'Pesos GPS'!$L$7</f>
        <v>0.9999600437</v>
      </c>
      <c r="I187" s="5">
        <f>MAX(0,G187*'Pesos GPS'!B$6+H187*'Pesos GPS'!B$7+'Pesos GPS'!B$8)</f>
        <v>0</v>
      </c>
      <c r="J187" s="5">
        <f>MAX(0,G187*'Pesos GPS'!C$6+H187*'Pesos GPS'!C$7+'Pesos GPS'!C$8)</f>
        <v>0</v>
      </c>
      <c r="K187" s="5">
        <f>MAX(0,G187*'Pesos GPS'!D$6+H187*'Pesos GPS'!D$7+'Pesos GPS'!D$8)</f>
        <v>0</v>
      </c>
      <c r="L187" s="5">
        <f>MAX(0,G187*'Pesos GPS'!E$6+H187*'Pesos GPS'!E$7+'Pesos GPS'!E$8)</f>
        <v>0</v>
      </c>
      <c r="M187" s="5">
        <f>MAX(0,I187*'Pesos GPS'!B$13+J187*'Pesos GPS'!B$14+K187*'Pesos GPS'!B$15+L187*'Pesos GPS'!B$16+'Pesos GPS'!B$17)</f>
        <v>0</v>
      </c>
      <c r="N187" s="5">
        <f>MAX(0,I187*'Pesos GPS'!C$13+J187*'Pesos GPS'!C$14+K187*'Pesos GPS'!C$15+L187*'Pesos GPS'!C$16+'Pesos GPS'!C$17)</f>
        <v>0</v>
      </c>
      <c r="O187" s="5">
        <f>MAX(0,I187*'Pesos GPS'!D$13+J187*'Pesos GPS'!D$14+K187*'Pesos GPS'!D$15+L187*'Pesos GPS'!D$16+'Pesos GPS'!D$17)</f>
        <v>0</v>
      </c>
      <c r="P187" s="5">
        <f>MAX(0,I187*'Pesos GPS'!E$13+J187*'Pesos GPS'!E$14+K187*'Pesos GPS'!E$15+L187*'Pesos GPS'!E$16+'Pesos GPS'!E$17)</f>
        <v>0</v>
      </c>
      <c r="Q187" s="5">
        <f>MAX(0,I187*'Pesos GPS'!F$13+J187*'Pesos GPS'!F$14+K187*'Pesos GPS'!F$15+L187*'Pesos GPS'!F$16+'Pesos GPS'!F$17)</f>
        <v>0</v>
      </c>
      <c r="R187" s="5">
        <f>MAX(0,I187*'Pesos GPS'!G$13+J187*'Pesos GPS'!G$14+K187*'Pesos GPS'!G$15+L187*'Pesos GPS'!G$16+'Pesos GPS'!G$17)</f>
        <v>0</v>
      </c>
      <c r="S187" s="5">
        <f>MAX(0,I187*'Pesos GPS'!H$13+J187*'Pesos GPS'!H$14+K187*'Pesos GPS'!H$15+L187*'Pesos GPS'!H$16+'Pesos GPS'!H$17)</f>
        <v>0</v>
      </c>
      <c r="T187" s="5">
        <f>MAX(0,I187*'Pesos GPS'!I$13+J187*'Pesos GPS'!I$14+K187*'Pesos GPS'!I$15+L187*'Pesos GPS'!I$16+'Pesos GPS'!I$17)</f>
        <v>0</v>
      </c>
      <c r="U187" s="5">
        <f>M187*'Pesos GPS'!$B$22+N187*'Pesos GPS'!$B$23+O187*'Pesos GPS'!$B$24+P187*'Pesos GPS'!$B$25+Q187*'Pesos GPS'!$B$26+R187*'Pesos GPS'!$B$27+S187*'Pesos GPS'!$B$28+T187*'Pesos GPS'!$B$29+'Pesos GPS'!$B$30</f>
        <v>2.37807146</v>
      </c>
      <c r="V187" s="5">
        <f t="shared" si="1"/>
        <v>0.9151397857</v>
      </c>
      <c r="W187" s="3">
        <f t="shared" si="2"/>
        <v>1</v>
      </c>
      <c r="X187" s="3">
        <f t="shared" si="3"/>
        <v>1</v>
      </c>
      <c r="Y187" s="9">
        <f t="shared" si="4"/>
        <v>0</v>
      </c>
      <c r="Z187" s="9">
        <v>0.9151397857284129</v>
      </c>
      <c r="AA187" s="3" t="str">
        <f t="shared" si="5"/>
        <v>OK</v>
      </c>
    </row>
    <row r="188" ht="15.75" customHeight="1">
      <c r="A188" s="3">
        <v>187.0</v>
      </c>
      <c r="B188" s="3" t="s">
        <v>20</v>
      </c>
      <c r="C188" s="7">
        <v>35.659421</v>
      </c>
      <c r="D188" s="7">
        <v>139.623018</v>
      </c>
      <c r="E188" s="3">
        <v>1.0</v>
      </c>
      <c r="F188" s="3" t="s">
        <v>55</v>
      </c>
      <c r="G188" s="5">
        <f>(C188-'Pesos GPS'!$L$4)/'Pesos GPS'!$L$5</f>
        <v>-1.006889869</v>
      </c>
      <c r="H188" s="5">
        <f>(D188-'Pesos GPS'!$L$6)/'Pesos GPS'!$L$7</f>
        <v>0.9997604888</v>
      </c>
      <c r="I188" s="5">
        <f>MAX(0,G188*'Pesos GPS'!B$6+H188*'Pesos GPS'!B$7+'Pesos GPS'!B$8)</f>
        <v>0</v>
      </c>
      <c r="J188" s="5">
        <f>MAX(0,G188*'Pesos GPS'!C$6+H188*'Pesos GPS'!C$7+'Pesos GPS'!C$8)</f>
        <v>0</v>
      </c>
      <c r="K188" s="5">
        <f>MAX(0,G188*'Pesos GPS'!D$6+H188*'Pesos GPS'!D$7+'Pesos GPS'!D$8)</f>
        <v>0</v>
      </c>
      <c r="L188" s="5">
        <f>MAX(0,G188*'Pesos GPS'!E$6+H188*'Pesos GPS'!E$7+'Pesos GPS'!E$8)</f>
        <v>0</v>
      </c>
      <c r="M188" s="5">
        <f>MAX(0,I188*'Pesos GPS'!B$13+J188*'Pesos GPS'!B$14+K188*'Pesos GPS'!B$15+L188*'Pesos GPS'!B$16+'Pesos GPS'!B$17)</f>
        <v>0</v>
      </c>
      <c r="N188" s="5">
        <f>MAX(0,I188*'Pesos GPS'!C$13+J188*'Pesos GPS'!C$14+K188*'Pesos GPS'!C$15+L188*'Pesos GPS'!C$16+'Pesos GPS'!C$17)</f>
        <v>0</v>
      </c>
      <c r="O188" s="5">
        <f>MAX(0,I188*'Pesos GPS'!D$13+J188*'Pesos GPS'!D$14+K188*'Pesos GPS'!D$15+L188*'Pesos GPS'!D$16+'Pesos GPS'!D$17)</f>
        <v>0</v>
      </c>
      <c r="P188" s="5">
        <f>MAX(0,I188*'Pesos GPS'!E$13+J188*'Pesos GPS'!E$14+K188*'Pesos GPS'!E$15+L188*'Pesos GPS'!E$16+'Pesos GPS'!E$17)</f>
        <v>0</v>
      </c>
      <c r="Q188" s="5">
        <f>MAX(0,I188*'Pesos GPS'!F$13+J188*'Pesos GPS'!F$14+K188*'Pesos GPS'!F$15+L188*'Pesos GPS'!F$16+'Pesos GPS'!F$17)</f>
        <v>0</v>
      </c>
      <c r="R188" s="5">
        <f>MAX(0,I188*'Pesos GPS'!G$13+J188*'Pesos GPS'!G$14+K188*'Pesos GPS'!G$15+L188*'Pesos GPS'!G$16+'Pesos GPS'!G$17)</f>
        <v>0</v>
      </c>
      <c r="S188" s="5">
        <f>MAX(0,I188*'Pesos GPS'!H$13+J188*'Pesos GPS'!H$14+K188*'Pesos GPS'!H$15+L188*'Pesos GPS'!H$16+'Pesos GPS'!H$17)</f>
        <v>0</v>
      </c>
      <c r="T188" s="5">
        <f>MAX(0,I188*'Pesos GPS'!I$13+J188*'Pesos GPS'!I$14+K188*'Pesos GPS'!I$15+L188*'Pesos GPS'!I$16+'Pesos GPS'!I$17)</f>
        <v>0</v>
      </c>
      <c r="U188" s="5">
        <f>M188*'Pesos GPS'!$B$22+N188*'Pesos GPS'!$B$23+O188*'Pesos GPS'!$B$24+P188*'Pesos GPS'!$B$25+Q188*'Pesos GPS'!$B$26+R188*'Pesos GPS'!$B$27+S188*'Pesos GPS'!$B$28+T188*'Pesos GPS'!$B$29+'Pesos GPS'!$B$30</f>
        <v>2.37807146</v>
      </c>
      <c r="V188" s="5">
        <f t="shared" si="1"/>
        <v>0.9151397857</v>
      </c>
      <c r="W188" s="3">
        <f t="shared" si="2"/>
        <v>1</v>
      </c>
      <c r="X188" s="3">
        <f t="shared" si="3"/>
        <v>1</v>
      </c>
      <c r="Y188" s="9">
        <f t="shared" si="4"/>
        <v>0</v>
      </c>
      <c r="Z188" s="9">
        <v>0.9151397857284129</v>
      </c>
      <c r="AA188" s="3" t="str">
        <f t="shared" si="5"/>
        <v>OK</v>
      </c>
    </row>
    <row r="189" ht="15.75" customHeight="1">
      <c r="A189" s="3">
        <v>188.0</v>
      </c>
      <c r="B189" s="3" t="s">
        <v>20</v>
      </c>
      <c r="C189" s="7">
        <v>35.684</v>
      </c>
      <c r="D189" s="7">
        <v>139.665361</v>
      </c>
      <c r="E189" s="3">
        <v>1.0</v>
      </c>
      <c r="F189" s="3" t="s">
        <v>55</v>
      </c>
      <c r="G189" s="5">
        <f>(C189-'Pesos GPS'!$L$4)/'Pesos GPS'!$L$5</f>
        <v>-0.9971270133</v>
      </c>
      <c r="H189" s="5">
        <f>(D189-'Pesos GPS'!$L$6)/'Pesos GPS'!$L$7</f>
        <v>1.000156856</v>
      </c>
      <c r="I189" s="5">
        <f>MAX(0,G189*'Pesos GPS'!B$6+H189*'Pesos GPS'!B$7+'Pesos GPS'!B$8)</f>
        <v>0</v>
      </c>
      <c r="J189" s="5">
        <f>MAX(0,G189*'Pesos GPS'!C$6+H189*'Pesos GPS'!C$7+'Pesos GPS'!C$8)</f>
        <v>0</v>
      </c>
      <c r="K189" s="5">
        <f>MAX(0,G189*'Pesos GPS'!D$6+H189*'Pesos GPS'!D$7+'Pesos GPS'!D$8)</f>
        <v>0</v>
      </c>
      <c r="L189" s="5">
        <f>MAX(0,G189*'Pesos GPS'!E$6+H189*'Pesos GPS'!E$7+'Pesos GPS'!E$8)</f>
        <v>0</v>
      </c>
      <c r="M189" s="5">
        <f>MAX(0,I189*'Pesos GPS'!B$13+J189*'Pesos GPS'!B$14+K189*'Pesos GPS'!B$15+L189*'Pesos GPS'!B$16+'Pesos GPS'!B$17)</f>
        <v>0</v>
      </c>
      <c r="N189" s="5">
        <f>MAX(0,I189*'Pesos GPS'!C$13+J189*'Pesos GPS'!C$14+K189*'Pesos GPS'!C$15+L189*'Pesos GPS'!C$16+'Pesos GPS'!C$17)</f>
        <v>0</v>
      </c>
      <c r="O189" s="5">
        <f>MAX(0,I189*'Pesos GPS'!D$13+J189*'Pesos GPS'!D$14+K189*'Pesos GPS'!D$15+L189*'Pesos GPS'!D$16+'Pesos GPS'!D$17)</f>
        <v>0</v>
      </c>
      <c r="P189" s="5">
        <f>MAX(0,I189*'Pesos GPS'!E$13+J189*'Pesos GPS'!E$14+K189*'Pesos GPS'!E$15+L189*'Pesos GPS'!E$16+'Pesos GPS'!E$17)</f>
        <v>0</v>
      </c>
      <c r="Q189" s="5">
        <f>MAX(0,I189*'Pesos GPS'!F$13+J189*'Pesos GPS'!F$14+K189*'Pesos GPS'!F$15+L189*'Pesos GPS'!F$16+'Pesos GPS'!F$17)</f>
        <v>0</v>
      </c>
      <c r="R189" s="5">
        <f>MAX(0,I189*'Pesos GPS'!G$13+J189*'Pesos GPS'!G$14+K189*'Pesos GPS'!G$15+L189*'Pesos GPS'!G$16+'Pesos GPS'!G$17)</f>
        <v>0</v>
      </c>
      <c r="S189" s="5">
        <f>MAX(0,I189*'Pesos GPS'!H$13+J189*'Pesos GPS'!H$14+K189*'Pesos GPS'!H$15+L189*'Pesos GPS'!H$16+'Pesos GPS'!H$17)</f>
        <v>0</v>
      </c>
      <c r="T189" s="5">
        <f>MAX(0,I189*'Pesos GPS'!I$13+J189*'Pesos GPS'!I$14+K189*'Pesos GPS'!I$15+L189*'Pesos GPS'!I$16+'Pesos GPS'!I$17)</f>
        <v>0</v>
      </c>
      <c r="U189" s="5">
        <f>M189*'Pesos GPS'!$B$22+N189*'Pesos GPS'!$B$23+O189*'Pesos GPS'!$B$24+P189*'Pesos GPS'!$B$25+Q189*'Pesos GPS'!$B$26+R189*'Pesos GPS'!$B$27+S189*'Pesos GPS'!$B$28+T189*'Pesos GPS'!$B$29+'Pesos GPS'!$B$30</f>
        <v>2.37807146</v>
      </c>
      <c r="V189" s="5">
        <f t="shared" si="1"/>
        <v>0.9151397857</v>
      </c>
      <c r="W189" s="3">
        <f t="shared" si="2"/>
        <v>1</v>
      </c>
      <c r="X189" s="3">
        <f t="shared" si="3"/>
        <v>1</v>
      </c>
      <c r="Y189" s="9">
        <f t="shared" si="4"/>
        <v>0</v>
      </c>
      <c r="Z189" s="9">
        <v>0.9151397857284129</v>
      </c>
      <c r="AA189" s="3" t="str">
        <f t="shared" si="5"/>
        <v>OK</v>
      </c>
    </row>
    <row r="190" ht="15.75" customHeight="1">
      <c r="A190" s="3">
        <v>189.0</v>
      </c>
      <c r="B190" s="3" t="s">
        <v>20</v>
      </c>
      <c r="C190" s="7">
        <v>35.705083</v>
      </c>
      <c r="D190" s="7">
        <v>139.620496</v>
      </c>
      <c r="E190" s="3">
        <v>1.0</v>
      </c>
      <c r="F190" s="3" t="s">
        <v>55</v>
      </c>
      <c r="G190" s="5">
        <f>(C190-'Pesos GPS'!$L$4)/'Pesos GPS'!$L$5</f>
        <v>-0.98875278</v>
      </c>
      <c r="H190" s="5">
        <f>(D190-'Pesos GPS'!$L$6)/'Pesos GPS'!$L$7</f>
        <v>0.9997368806</v>
      </c>
      <c r="I190" s="5">
        <f>MAX(0,G190*'Pesos GPS'!B$6+H190*'Pesos GPS'!B$7+'Pesos GPS'!B$8)</f>
        <v>0</v>
      </c>
      <c r="J190" s="5">
        <f>MAX(0,G190*'Pesos GPS'!C$6+H190*'Pesos GPS'!C$7+'Pesos GPS'!C$8)</f>
        <v>0</v>
      </c>
      <c r="K190" s="5">
        <f>MAX(0,G190*'Pesos GPS'!D$6+H190*'Pesos GPS'!D$7+'Pesos GPS'!D$8)</f>
        <v>0</v>
      </c>
      <c r="L190" s="5">
        <f>MAX(0,G190*'Pesos GPS'!E$6+H190*'Pesos GPS'!E$7+'Pesos GPS'!E$8)</f>
        <v>0</v>
      </c>
      <c r="M190" s="5">
        <f>MAX(0,I190*'Pesos GPS'!B$13+J190*'Pesos GPS'!B$14+K190*'Pesos GPS'!B$15+L190*'Pesos GPS'!B$16+'Pesos GPS'!B$17)</f>
        <v>0</v>
      </c>
      <c r="N190" s="5">
        <f>MAX(0,I190*'Pesos GPS'!C$13+J190*'Pesos GPS'!C$14+K190*'Pesos GPS'!C$15+L190*'Pesos GPS'!C$16+'Pesos GPS'!C$17)</f>
        <v>0</v>
      </c>
      <c r="O190" s="5">
        <f>MAX(0,I190*'Pesos GPS'!D$13+J190*'Pesos GPS'!D$14+K190*'Pesos GPS'!D$15+L190*'Pesos GPS'!D$16+'Pesos GPS'!D$17)</f>
        <v>0</v>
      </c>
      <c r="P190" s="5">
        <f>MAX(0,I190*'Pesos GPS'!E$13+J190*'Pesos GPS'!E$14+K190*'Pesos GPS'!E$15+L190*'Pesos GPS'!E$16+'Pesos GPS'!E$17)</f>
        <v>0</v>
      </c>
      <c r="Q190" s="5">
        <f>MAX(0,I190*'Pesos GPS'!F$13+J190*'Pesos GPS'!F$14+K190*'Pesos GPS'!F$15+L190*'Pesos GPS'!F$16+'Pesos GPS'!F$17)</f>
        <v>0</v>
      </c>
      <c r="R190" s="5">
        <f>MAX(0,I190*'Pesos GPS'!G$13+J190*'Pesos GPS'!G$14+K190*'Pesos GPS'!G$15+L190*'Pesos GPS'!G$16+'Pesos GPS'!G$17)</f>
        <v>0</v>
      </c>
      <c r="S190" s="5">
        <f>MAX(0,I190*'Pesos GPS'!H$13+J190*'Pesos GPS'!H$14+K190*'Pesos GPS'!H$15+L190*'Pesos GPS'!H$16+'Pesos GPS'!H$17)</f>
        <v>0</v>
      </c>
      <c r="T190" s="5">
        <f>MAX(0,I190*'Pesos GPS'!I$13+J190*'Pesos GPS'!I$14+K190*'Pesos GPS'!I$15+L190*'Pesos GPS'!I$16+'Pesos GPS'!I$17)</f>
        <v>0</v>
      </c>
      <c r="U190" s="5">
        <f>M190*'Pesos GPS'!$B$22+N190*'Pesos GPS'!$B$23+O190*'Pesos GPS'!$B$24+P190*'Pesos GPS'!$B$25+Q190*'Pesos GPS'!$B$26+R190*'Pesos GPS'!$B$27+S190*'Pesos GPS'!$B$28+T190*'Pesos GPS'!$B$29+'Pesos GPS'!$B$30</f>
        <v>2.37807146</v>
      </c>
      <c r="V190" s="5">
        <f t="shared" si="1"/>
        <v>0.9151397857</v>
      </c>
      <c r="W190" s="3">
        <f t="shared" si="2"/>
        <v>1</v>
      </c>
      <c r="X190" s="3">
        <f t="shared" si="3"/>
        <v>1</v>
      </c>
      <c r="Y190" s="9">
        <f t="shared" si="4"/>
        <v>0</v>
      </c>
      <c r="Z190" s="9">
        <v>0.9151397857284129</v>
      </c>
      <c r="AA190" s="3" t="str">
        <f t="shared" si="5"/>
        <v>OK</v>
      </c>
    </row>
    <row r="191" ht="15.75" customHeight="1">
      <c r="A191" s="3">
        <v>190.0</v>
      </c>
      <c r="B191" s="3" t="s">
        <v>20</v>
      </c>
      <c r="C191" s="7">
        <v>35.691419</v>
      </c>
      <c r="D191" s="7">
        <v>139.673595</v>
      </c>
      <c r="E191" s="3">
        <v>1.0</v>
      </c>
      <c r="F191" s="3" t="s">
        <v>55</v>
      </c>
      <c r="G191" s="5">
        <f>(C191-'Pesos GPS'!$L$4)/'Pesos GPS'!$L$5</f>
        <v>-0.9941801634</v>
      </c>
      <c r="H191" s="5">
        <f>(D191-'Pesos GPS'!$L$6)/'Pesos GPS'!$L$7</f>
        <v>1.000233933</v>
      </c>
      <c r="I191" s="5">
        <f>MAX(0,G191*'Pesos GPS'!B$6+H191*'Pesos GPS'!B$7+'Pesos GPS'!B$8)</f>
        <v>0</v>
      </c>
      <c r="J191" s="5">
        <f>MAX(0,G191*'Pesos GPS'!C$6+H191*'Pesos GPS'!C$7+'Pesos GPS'!C$8)</f>
        <v>0</v>
      </c>
      <c r="K191" s="5">
        <f>MAX(0,G191*'Pesos GPS'!D$6+H191*'Pesos GPS'!D$7+'Pesos GPS'!D$8)</f>
        <v>0</v>
      </c>
      <c r="L191" s="5">
        <f>MAX(0,G191*'Pesos GPS'!E$6+H191*'Pesos GPS'!E$7+'Pesos GPS'!E$8)</f>
        <v>0</v>
      </c>
      <c r="M191" s="5">
        <f>MAX(0,I191*'Pesos GPS'!B$13+J191*'Pesos GPS'!B$14+K191*'Pesos GPS'!B$15+L191*'Pesos GPS'!B$16+'Pesos GPS'!B$17)</f>
        <v>0</v>
      </c>
      <c r="N191" s="5">
        <f>MAX(0,I191*'Pesos GPS'!C$13+J191*'Pesos GPS'!C$14+K191*'Pesos GPS'!C$15+L191*'Pesos GPS'!C$16+'Pesos GPS'!C$17)</f>
        <v>0</v>
      </c>
      <c r="O191" s="5">
        <f>MAX(0,I191*'Pesos GPS'!D$13+J191*'Pesos GPS'!D$14+K191*'Pesos GPS'!D$15+L191*'Pesos GPS'!D$16+'Pesos GPS'!D$17)</f>
        <v>0</v>
      </c>
      <c r="P191" s="5">
        <f>MAX(0,I191*'Pesos GPS'!E$13+J191*'Pesos GPS'!E$14+K191*'Pesos GPS'!E$15+L191*'Pesos GPS'!E$16+'Pesos GPS'!E$17)</f>
        <v>0</v>
      </c>
      <c r="Q191" s="5">
        <f>MAX(0,I191*'Pesos GPS'!F$13+J191*'Pesos GPS'!F$14+K191*'Pesos GPS'!F$15+L191*'Pesos GPS'!F$16+'Pesos GPS'!F$17)</f>
        <v>0</v>
      </c>
      <c r="R191" s="5">
        <f>MAX(0,I191*'Pesos GPS'!G$13+J191*'Pesos GPS'!G$14+K191*'Pesos GPS'!G$15+L191*'Pesos GPS'!G$16+'Pesos GPS'!G$17)</f>
        <v>0</v>
      </c>
      <c r="S191" s="5">
        <f>MAX(0,I191*'Pesos GPS'!H$13+J191*'Pesos GPS'!H$14+K191*'Pesos GPS'!H$15+L191*'Pesos GPS'!H$16+'Pesos GPS'!H$17)</f>
        <v>0</v>
      </c>
      <c r="T191" s="5">
        <f>MAX(0,I191*'Pesos GPS'!I$13+J191*'Pesos GPS'!I$14+K191*'Pesos GPS'!I$15+L191*'Pesos GPS'!I$16+'Pesos GPS'!I$17)</f>
        <v>0</v>
      </c>
      <c r="U191" s="5">
        <f>M191*'Pesos GPS'!$B$22+N191*'Pesos GPS'!$B$23+O191*'Pesos GPS'!$B$24+P191*'Pesos GPS'!$B$25+Q191*'Pesos GPS'!$B$26+R191*'Pesos GPS'!$B$27+S191*'Pesos GPS'!$B$28+T191*'Pesos GPS'!$B$29+'Pesos GPS'!$B$30</f>
        <v>2.37807146</v>
      </c>
      <c r="V191" s="5">
        <f t="shared" si="1"/>
        <v>0.9151397857</v>
      </c>
      <c r="W191" s="3">
        <f t="shared" si="2"/>
        <v>1</v>
      </c>
      <c r="X191" s="3">
        <f t="shared" si="3"/>
        <v>1</v>
      </c>
      <c r="Y191" s="9">
        <f t="shared" si="4"/>
        <v>0</v>
      </c>
      <c r="Z191" s="9">
        <v>0.9151397857284129</v>
      </c>
      <c r="AA191" s="3" t="str">
        <f t="shared" si="5"/>
        <v>OK</v>
      </c>
    </row>
    <row r="192" ht="15.75" customHeight="1">
      <c r="A192" s="3">
        <v>191.0</v>
      </c>
      <c r="B192" s="3" t="s">
        <v>20</v>
      </c>
      <c r="C192" s="7">
        <v>35.618918</v>
      </c>
      <c r="D192" s="7">
        <v>139.688285</v>
      </c>
      <c r="E192" s="3">
        <v>1.0</v>
      </c>
      <c r="F192" s="3" t="s">
        <v>55</v>
      </c>
      <c r="G192" s="5">
        <f>(C192-'Pesos GPS'!$L$4)/'Pesos GPS'!$L$5</f>
        <v>-1.022977786</v>
      </c>
      <c r="H192" s="5">
        <f>(D192-'Pesos GPS'!$L$6)/'Pesos GPS'!$L$7</f>
        <v>1.000371445</v>
      </c>
      <c r="I192" s="5">
        <f>MAX(0,G192*'Pesos GPS'!B$6+H192*'Pesos GPS'!B$7+'Pesos GPS'!B$8)</f>
        <v>0</v>
      </c>
      <c r="J192" s="5">
        <f>MAX(0,G192*'Pesos GPS'!C$6+H192*'Pesos GPS'!C$7+'Pesos GPS'!C$8)</f>
        <v>0</v>
      </c>
      <c r="K192" s="5">
        <f>MAX(0,G192*'Pesos GPS'!D$6+H192*'Pesos GPS'!D$7+'Pesos GPS'!D$8)</f>
        <v>0</v>
      </c>
      <c r="L192" s="5">
        <f>MAX(0,G192*'Pesos GPS'!E$6+H192*'Pesos GPS'!E$7+'Pesos GPS'!E$8)</f>
        <v>0</v>
      </c>
      <c r="M192" s="5">
        <f>MAX(0,I192*'Pesos GPS'!B$13+J192*'Pesos GPS'!B$14+K192*'Pesos GPS'!B$15+L192*'Pesos GPS'!B$16+'Pesos GPS'!B$17)</f>
        <v>0</v>
      </c>
      <c r="N192" s="5">
        <f>MAX(0,I192*'Pesos GPS'!C$13+J192*'Pesos GPS'!C$14+K192*'Pesos GPS'!C$15+L192*'Pesos GPS'!C$16+'Pesos GPS'!C$17)</f>
        <v>0</v>
      </c>
      <c r="O192" s="5">
        <f>MAX(0,I192*'Pesos GPS'!D$13+J192*'Pesos GPS'!D$14+K192*'Pesos GPS'!D$15+L192*'Pesos GPS'!D$16+'Pesos GPS'!D$17)</f>
        <v>0</v>
      </c>
      <c r="P192" s="5">
        <f>MAX(0,I192*'Pesos GPS'!E$13+J192*'Pesos GPS'!E$14+K192*'Pesos GPS'!E$15+L192*'Pesos GPS'!E$16+'Pesos GPS'!E$17)</f>
        <v>0</v>
      </c>
      <c r="Q192" s="5">
        <f>MAX(0,I192*'Pesos GPS'!F$13+J192*'Pesos GPS'!F$14+K192*'Pesos GPS'!F$15+L192*'Pesos GPS'!F$16+'Pesos GPS'!F$17)</f>
        <v>0</v>
      </c>
      <c r="R192" s="5">
        <f>MAX(0,I192*'Pesos GPS'!G$13+J192*'Pesos GPS'!G$14+K192*'Pesos GPS'!G$15+L192*'Pesos GPS'!G$16+'Pesos GPS'!G$17)</f>
        <v>0</v>
      </c>
      <c r="S192" s="5">
        <f>MAX(0,I192*'Pesos GPS'!H$13+J192*'Pesos GPS'!H$14+K192*'Pesos GPS'!H$15+L192*'Pesos GPS'!H$16+'Pesos GPS'!H$17)</f>
        <v>0</v>
      </c>
      <c r="T192" s="5">
        <f>MAX(0,I192*'Pesos GPS'!I$13+J192*'Pesos GPS'!I$14+K192*'Pesos GPS'!I$15+L192*'Pesos GPS'!I$16+'Pesos GPS'!I$17)</f>
        <v>0</v>
      </c>
      <c r="U192" s="5">
        <f>M192*'Pesos GPS'!$B$22+N192*'Pesos GPS'!$B$23+O192*'Pesos GPS'!$B$24+P192*'Pesos GPS'!$B$25+Q192*'Pesos GPS'!$B$26+R192*'Pesos GPS'!$B$27+S192*'Pesos GPS'!$B$28+T192*'Pesos GPS'!$B$29+'Pesos GPS'!$B$30</f>
        <v>2.37807146</v>
      </c>
      <c r="V192" s="5">
        <f t="shared" si="1"/>
        <v>0.9151397857</v>
      </c>
      <c r="W192" s="3">
        <f t="shared" si="2"/>
        <v>1</v>
      </c>
      <c r="X192" s="3">
        <f t="shared" si="3"/>
        <v>1</v>
      </c>
      <c r="Y192" s="9">
        <f t="shared" si="4"/>
        <v>0</v>
      </c>
      <c r="Z192" s="9">
        <v>0.9151397857284129</v>
      </c>
      <c r="AA192" s="3" t="str">
        <f t="shared" si="5"/>
        <v>OK</v>
      </c>
    </row>
    <row r="193" ht="15.75" customHeight="1">
      <c r="A193" s="3">
        <v>192.0</v>
      </c>
      <c r="B193" s="3" t="s">
        <v>20</v>
      </c>
      <c r="C193" s="7">
        <v>35.683809</v>
      </c>
      <c r="D193" s="7">
        <v>139.663129</v>
      </c>
      <c r="E193" s="3">
        <v>1.0</v>
      </c>
      <c r="F193" s="3" t="s">
        <v>55</v>
      </c>
      <c r="G193" s="5">
        <f>(C193-'Pesos GPS'!$L$4)/'Pesos GPS'!$L$5</f>
        <v>-0.9972028791</v>
      </c>
      <c r="H193" s="5">
        <f>(D193-'Pesos GPS'!$L$6)/'Pesos GPS'!$L$7</f>
        <v>1.000135963</v>
      </c>
      <c r="I193" s="5">
        <f>MAX(0,G193*'Pesos GPS'!B$6+H193*'Pesos GPS'!B$7+'Pesos GPS'!B$8)</f>
        <v>0</v>
      </c>
      <c r="J193" s="5">
        <f>MAX(0,G193*'Pesos GPS'!C$6+H193*'Pesos GPS'!C$7+'Pesos GPS'!C$8)</f>
        <v>0</v>
      </c>
      <c r="K193" s="5">
        <f>MAX(0,G193*'Pesos GPS'!D$6+H193*'Pesos GPS'!D$7+'Pesos GPS'!D$8)</f>
        <v>0</v>
      </c>
      <c r="L193" s="5">
        <f>MAX(0,G193*'Pesos GPS'!E$6+H193*'Pesos GPS'!E$7+'Pesos GPS'!E$8)</f>
        <v>0</v>
      </c>
      <c r="M193" s="5">
        <f>MAX(0,I193*'Pesos GPS'!B$13+J193*'Pesos GPS'!B$14+K193*'Pesos GPS'!B$15+L193*'Pesos GPS'!B$16+'Pesos GPS'!B$17)</f>
        <v>0</v>
      </c>
      <c r="N193" s="5">
        <f>MAX(0,I193*'Pesos GPS'!C$13+J193*'Pesos GPS'!C$14+K193*'Pesos GPS'!C$15+L193*'Pesos GPS'!C$16+'Pesos GPS'!C$17)</f>
        <v>0</v>
      </c>
      <c r="O193" s="5">
        <f>MAX(0,I193*'Pesos GPS'!D$13+J193*'Pesos GPS'!D$14+K193*'Pesos GPS'!D$15+L193*'Pesos GPS'!D$16+'Pesos GPS'!D$17)</f>
        <v>0</v>
      </c>
      <c r="P193" s="5">
        <f>MAX(0,I193*'Pesos GPS'!E$13+J193*'Pesos GPS'!E$14+K193*'Pesos GPS'!E$15+L193*'Pesos GPS'!E$16+'Pesos GPS'!E$17)</f>
        <v>0</v>
      </c>
      <c r="Q193" s="5">
        <f>MAX(0,I193*'Pesos GPS'!F$13+J193*'Pesos GPS'!F$14+K193*'Pesos GPS'!F$15+L193*'Pesos GPS'!F$16+'Pesos GPS'!F$17)</f>
        <v>0</v>
      </c>
      <c r="R193" s="5">
        <f>MAX(0,I193*'Pesos GPS'!G$13+J193*'Pesos GPS'!G$14+K193*'Pesos GPS'!G$15+L193*'Pesos GPS'!G$16+'Pesos GPS'!G$17)</f>
        <v>0</v>
      </c>
      <c r="S193" s="5">
        <f>MAX(0,I193*'Pesos GPS'!H$13+J193*'Pesos GPS'!H$14+K193*'Pesos GPS'!H$15+L193*'Pesos GPS'!H$16+'Pesos GPS'!H$17)</f>
        <v>0</v>
      </c>
      <c r="T193" s="5">
        <f>MAX(0,I193*'Pesos GPS'!I$13+J193*'Pesos GPS'!I$14+K193*'Pesos GPS'!I$15+L193*'Pesos GPS'!I$16+'Pesos GPS'!I$17)</f>
        <v>0</v>
      </c>
      <c r="U193" s="5">
        <f>M193*'Pesos GPS'!$B$22+N193*'Pesos GPS'!$B$23+O193*'Pesos GPS'!$B$24+P193*'Pesos GPS'!$B$25+Q193*'Pesos GPS'!$B$26+R193*'Pesos GPS'!$B$27+S193*'Pesos GPS'!$B$28+T193*'Pesos GPS'!$B$29+'Pesos GPS'!$B$30</f>
        <v>2.37807146</v>
      </c>
      <c r="V193" s="5">
        <f t="shared" si="1"/>
        <v>0.9151397857</v>
      </c>
      <c r="W193" s="3">
        <f t="shared" si="2"/>
        <v>1</v>
      </c>
      <c r="X193" s="3">
        <f t="shared" si="3"/>
        <v>1</v>
      </c>
      <c r="Y193" s="9">
        <f t="shared" si="4"/>
        <v>0</v>
      </c>
      <c r="Z193" s="9">
        <v>0.9151397857284129</v>
      </c>
      <c r="AA193" s="3" t="str">
        <f t="shared" si="5"/>
        <v>OK</v>
      </c>
    </row>
    <row r="194" ht="15.75" customHeight="1">
      <c r="A194" s="3">
        <v>193.0</v>
      </c>
      <c r="B194" s="3" t="s">
        <v>20</v>
      </c>
      <c r="C194" s="7">
        <v>35.678001</v>
      </c>
      <c r="D194" s="7">
        <v>139.640281</v>
      </c>
      <c r="E194" s="3">
        <v>1.0</v>
      </c>
      <c r="F194" s="3" t="s">
        <v>55</v>
      </c>
      <c r="G194" s="5">
        <f>(C194-'Pesos GPS'!$L$4)/'Pesos GPS'!$L$5</f>
        <v>-0.9995098347</v>
      </c>
      <c r="H194" s="5">
        <f>(D194-'Pesos GPS'!$L$6)/'Pesos GPS'!$L$7</f>
        <v>0.9999220854</v>
      </c>
      <c r="I194" s="5">
        <f>MAX(0,G194*'Pesos GPS'!B$6+H194*'Pesos GPS'!B$7+'Pesos GPS'!B$8)</f>
        <v>0</v>
      </c>
      <c r="J194" s="5">
        <f>MAX(0,G194*'Pesos GPS'!C$6+H194*'Pesos GPS'!C$7+'Pesos GPS'!C$8)</f>
        <v>0</v>
      </c>
      <c r="K194" s="5">
        <f>MAX(0,G194*'Pesos GPS'!D$6+H194*'Pesos GPS'!D$7+'Pesos GPS'!D$8)</f>
        <v>0</v>
      </c>
      <c r="L194" s="5">
        <f>MAX(0,G194*'Pesos GPS'!E$6+H194*'Pesos GPS'!E$7+'Pesos GPS'!E$8)</f>
        <v>0</v>
      </c>
      <c r="M194" s="5">
        <f>MAX(0,I194*'Pesos GPS'!B$13+J194*'Pesos GPS'!B$14+K194*'Pesos GPS'!B$15+L194*'Pesos GPS'!B$16+'Pesos GPS'!B$17)</f>
        <v>0</v>
      </c>
      <c r="N194" s="5">
        <f>MAX(0,I194*'Pesos GPS'!C$13+J194*'Pesos GPS'!C$14+K194*'Pesos GPS'!C$15+L194*'Pesos GPS'!C$16+'Pesos GPS'!C$17)</f>
        <v>0</v>
      </c>
      <c r="O194" s="5">
        <f>MAX(0,I194*'Pesos GPS'!D$13+J194*'Pesos GPS'!D$14+K194*'Pesos GPS'!D$15+L194*'Pesos GPS'!D$16+'Pesos GPS'!D$17)</f>
        <v>0</v>
      </c>
      <c r="P194" s="5">
        <f>MAX(0,I194*'Pesos GPS'!E$13+J194*'Pesos GPS'!E$14+K194*'Pesos GPS'!E$15+L194*'Pesos GPS'!E$16+'Pesos GPS'!E$17)</f>
        <v>0</v>
      </c>
      <c r="Q194" s="5">
        <f>MAX(0,I194*'Pesos GPS'!F$13+J194*'Pesos GPS'!F$14+K194*'Pesos GPS'!F$15+L194*'Pesos GPS'!F$16+'Pesos GPS'!F$17)</f>
        <v>0</v>
      </c>
      <c r="R194" s="5">
        <f>MAX(0,I194*'Pesos GPS'!G$13+J194*'Pesos GPS'!G$14+K194*'Pesos GPS'!G$15+L194*'Pesos GPS'!G$16+'Pesos GPS'!G$17)</f>
        <v>0</v>
      </c>
      <c r="S194" s="5">
        <f>MAX(0,I194*'Pesos GPS'!H$13+J194*'Pesos GPS'!H$14+K194*'Pesos GPS'!H$15+L194*'Pesos GPS'!H$16+'Pesos GPS'!H$17)</f>
        <v>0</v>
      </c>
      <c r="T194" s="5">
        <f>MAX(0,I194*'Pesos GPS'!I$13+J194*'Pesos GPS'!I$14+K194*'Pesos GPS'!I$15+L194*'Pesos GPS'!I$16+'Pesos GPS'!I$17)</f>
        <v>0</v>
      </c>
      <c r="U194" s="5">
        <f>M194*'Pesos GPS'!$B$22+N194*'Pesos GPS'!$B$23+O194*'Pesos GPS'!$B$24+P194*'Pesos GPS'!$B$25+Q194*'Pesos GPS'!$B$26+R194*'Pesos GPS'!$B$27+S194*'Pesos GPS'!$B$28+T194*'Pesos GPS'!$B$29+'Pesos GPS'!$B$30</f>
        <v>2.37807146</v>
      </c>
      <c r="V194" s="5">
        <f t="shared" si="1"/>
        <v>0.9151397857</v>
      </c>
      <c r="W194" s="3">
        <f t="shared" si="2"/>
        <v>1</v>
      </c>
      <c r="X194" s="3">
        <f t="shared" si="3"/>
        <v>1</v>
      </c>
      <c r="Y194" s="9">
        <f t="shared" si="4"/>
        <v>0</v>
      </c>
      <c r="Z194" s="9">
        <v>0.9151397857284129</v>
      </c>
      <c r="AA194" s="3" t="str">
        <f t="shared" si="5"/>
        <v>OK</v>
      </c>
    </row>
    <row r="195" ht="15.75" customHeight="1">
      <c r="A195" s="3">
        <v>194.0</v>
      </c>
      <c r="B195" s="3" t="s">
        <v>20</v>
      </c>
      <c r="C195" s="7">
        <v>35.686547</v>
      </c>
      <c r="D195" s="7">
        <v>139.666189</v>
      </c>
      <c r="E195" s="3">
        <v>1.0</v>
      </c>
      <c r="F195" s="3" t="s">
        <v>55</v>
      </c>
      <c r="G195" s="5">
        <f>(C195-'Pesos GPS'!$L$4)/'Pesos GPS'!$L$5</f>
        <v>-0.9961153369</v>
      </c>
      <c r="H195" s="5">
        <f>(D195-'Pesos GPS'!$L$6)/'Pesos GPS'!$L$7</f>
        <v>1.000164607</v>
      </c>
      <c r="I195" s="5">
        <f>MAX(0,G195*'Pesos GPS'!B$6+H195*'Pesos GPS'!B$7+'Pesos GPS'!B$8)</f>
        <v>0</v>
      </c>
      <c r="J195" s="5">
        <f>MAX(0,G195*'Pesos GPS'!C$6+H195*'Pesos GPS'!C$7+'Pesos GPS'!C$8)</f>
        <v>0</v>
      </c>
      <c r="K195" s="5">
        <f>MAX(0,G195*'Pesos GPS'!D$6+H195*'Pesos GPS'!D$7+'Pesos GPS'!D$8)</f>
        <v>0</v>
      </c>
      <c r="L195" s="5">
        <f>MAX(0,G195*'Pesos GPS'!E$6+H195*'Pesos GPS'!E$7+'Pesos GPS'!E$8)</f>
        <v>0</v>
      </c>
      <c r="M195" s="5">
        <f>MAX(0,I195*'Pesos GPS'!B$13+J195*'Pesos GPS'!B$14+K195*'Pesos GPS'!B$15+L195*'Pesos GPS'!B$16+'Pesos GPS'!B$17)</f>
        <v>0</v>
      </c>
      <c r="N195" s="5">
        <f>MAX(0,I195*'Pesos GPS'!C$13+J195*'Pesos GPS'!C$14+K195*'Pesos GPS'!C$15+L195*'Pesos GPS'!C$16+'Pesos GPS'!C$17)</f>
        <v>0</v>
      </c>
      <c r="O195" s="5">
        <f>MAX(0,I195*'Pesos GPS'!D$13+J195*'Pesos GPS'!D$14+K195*'Pesos GPS'!D$15+L195*'Pesos GPS'!D$16+'Pesos GPS'!D$17)</f>
        <v>0</v>
      </c>
      <c r="P195" s="5">
        <f>MAX(0,I195*'Pesos GPS'!E$13+J195*'Pesos GPS'!E$14+K195*'Pesos GPS'!E$15+L195*'Pesos GPS'!E$16+'Pesos GPS'!E$17)</f>
        <v>0</v>
      </c>
      <c r="Q195" s="5">
        <f>MAX(0,I195*'Pesos GPS'!F$13+J195*'Pesos GPS'!F$14+K195*'Pesos GPS'!F$15+L195*'Pesos GPS'!F$16+'Pesos GPS'!F$17)</f>
        <v>0</v>
      </c>
      <c r="R195" s="5">
        <f>MAX(0,I195*'Pesos GPS'!G$13+J195*'Pesos GPS'!G$14+K195*'Pesos GPS'!G$15+L195*'Pesos GPS'!G$16+'Pesos GPS'!G$17)</f>
        <v>0</v>
      </c>
      <c r="S195" s="5">
        <f>MAX(0,I195*'Pesos GPS'!H$13+J195*'Pesos GPS'!H$14+K195*'Pesos GPS'!H$15+L195*'Pesos GPS'!H$16+'Pesos GPS'!H$17)</f>
        <v>0</v>
      </c>
      <c r="T195" s="5">
        <f>MAX(0,I195*'Pesos GPS'!I$13+J195*'Pesos GPS'!I$14+K195*'Pesos GPS'!I$15+L195*'Pesos GPS'!I$16+'Pesos GPS'!I$17)</f>
        <v>0</v>
      </c>
      <c r="U195" s="5">
        <f>M195*'Pesos GPS'!$B$22+N195*'Pesos GPS'!$B$23+O195*'Pesos GPS'!$B$24+P195*'Pesos GPS'!$B$25+Q195*'Pesos GPS'!$B$26+R195*'Pesos GPS'!$B$27+S195*'Pesos GPS'!$B$28+T195*'Pesos GPS'!$B$29+'Pesos GPS'!$B$30</f>
        <v>2.37807146</v>
      </c>
      <c r="V195" s="5">
        <f t="shared" si="1"/>
        <v>0.9151397857</v>
      </c>
      <c r="W195" s="3">
        <f t="shared" si="2"/>
        <v>1</v>
      </c>
      <c r="X195" s="3">
        <f t="shared" si="3"/>
        <v>1</v>
      </c>
      <c r="Y195" s="9">
        <f t="shared" si="4"/>
        <v>0</v>
      </c>
      <c r="Z195" s="9">
        <v>0.9151397857284129</v>
      </c>
      <c r="AA195" s="3" t="str">
        <f t="shared" si="5"/>
        <v>OK</v>
      </c>
    </row>
    <row r="196" ht="15.75" customHeight="1">
      <c r="A196" s="3">
        <v>195.0</v>
      </c>
      <c r="B196" s="3" t="s">
        <v>20</v>
      </c>
      <c r="C196" s="7">
        <v>35.716605</v>
      </c>
      <c r="D196" s="7">
        <v>139.639496</v>
      </c>
      <c r="E196" s="3">
        <v>1.0</v>
      </c>
      <c r="F196" s="3" t="s">
        <v>55</v>
      </c>
      <c r="G196" s="5">
        <f>(C196-'Pesos GPS'!$L$4)/'Pesos GPS'!$L$5</f>
        <v>-0.9841762058</v>
      </c>
      <c r="H196" s="5">
        <f>(D196-'Pesos GPS'!$L$6)/'Pesos GPS'!$L$7</f>
        <v>0.9999147371</v>
      </c>
      <c r="I196" s="5">
        <f>MAX(0,G196*'Pesos GPS'!B$6+H196*'Pesos GPS'!B$7+'Pesos GPS'!B$8)</f>
        <v>0</v>
      </c>
      <c r="J196" s="5">
        <f>MAX(0,G196*'Pesos GPS'!C$6+H196*'Pesos GPS'!C$7+'Pesos GPS'!C$8)</f>
        <v>0</v>
      </c>
      <c r="K196" s="5">
        <f>MAX(0,G196*'Pesos GPS'!D$6+H196*'Pesos GPS'!D$7+'Pesos GPS'!D$8)</f>
        <v>0</v>
      </c>
      <c r="L196" s="5">
        <f>MAX(0,G196*'Pesos GPS'!E$6+H196*'Pesos GPS'!E$7+'Pesos GPS'!E$8)</f>
        <v>0</v>
      </c>
      <c r="M196" s="5">
        <f>MAX(0,I196*'Pesos GPS'!B$13+J196*'Pesos GPS'!B$14+K196*'Pesos GPS'!B$15+L196*'Pesos GPS'!B$16+'Pesos GPS'!B$17)</f>
        <v>0</v>
      </c>
      <c r="N196" s="5">
        <f>MAX(0,I196*'Pesos GPS'!C$13+J196*'Pesos GPS'!C$14+K196*'Pesos GPS'!C$15+L196*'Pesos GPS'!C$16+'Pesos GPS'!C$17)</f>
        <v>0</v>
      </c>
      <c r="O196" s="5">
        <f>MAX(0,I196*'Pesos GPS'!D$13+J196*'Pesos GPS'!D$14+K196*'Pesos GPS'!D$15+L196*'Pesos GPS'!D$16+'Pesos GPS'!D$17)</f>
        <v>0</v>
      </c>
      <c r="P196" s="5">
        <f>MAX(0,I196*'Pesos GPS'!E$13+J196*'Pesos GPS'!E$14+K196*'Pesos GPS'!E$15+L196*'Pesos GPS'!E$16+'Pesos GPS'!E$17)</f>
        <v>0</v>
      </c>
      <c r="Q196" s="5">
        <f>MAX(0,I196*'Pesos GPS'!F$13+J196*'Pesos GPS'!F$14+K196*'Pesos GPS'!F$15+L196*'Pesos GPS'!F$16+'Pesos GPS'!F$17)</f>
        <v>0</v>
      </c>
      <c r="R196" s="5">
        <f>MAX(0,I196*'Pesos GPS'!G$13+J196*'Pesos GPS'!G$14+K196*'Pesos GPS'!G$15+L196*'Pesos GPS'!G$16+'Pesos GPS'!G$17)</f>
        <v>0</v>
      </c>
      <c r="S196" s="5">
        <f>MAX(0,I196*'Pesos GPS'!H$13+J196*'Pesos GPS'!H$14+K196*'Pesos GPS'!H$15+L196*'Pesos GPS'!H$16+'Pesos GPS'!H$17)</f>
        <v>0</v>
      </c>
      <c r="T196" s="5">
        <f>MAX(0,I196*'Pesos GPS'!I$13+J196*'Pesos GPS'!I$14+K196*'Pesos GPS'!I$15+L196*'Pesos GPS'!I$16+'Pesos GPS'!I$17)</f>
        <v>0</v>
      </c>
      <c r="U196" s="5">
        <f>M196*'Pesos GPS'!$B$22+N196*'Pesos GPS'!$B$23+O196*'Pesos GPS'!$B$24+P196*'Pesos GPS'!$B$25+Q196*'Pesos GPS'!$B$26+R196*'Pesos GPS'!$B$27+S196*'Pesos GPS'!$B$28+T196*'Pesos GPS'!$B$29+'Pesos GPS'!$B$30</f>
        <v>2.37807146</v>
      </c>
      <c r="V196" s="5">
        <f t="shared" si="1"/>
        <v>0.9151397857</v>
      </c>
      <c r="W196" s="3">
        <f t="shared" si="2"/>
        <v>1</v>
      </c>
      <c r="X196" s="3">
        <f t="shared" si="3"/>
        <v>1</v>
      </c>
      <c r="Y196" s="9">
        <f t="shared" si="4"/>
        <v>0</v>
      </c>
      <c r="Z196" s="9">
        <v>0.9151397857284129</v>
      </c>
      <c r="AA196" s="3" t="str">
        <f t="shared" si="5"/>
        <v>OK</v>
      </c>
    </row>
    <row r="197" ht="15.75" customHeight="1">
      <c r="A197" s="3">
        <v>196.0</v>
      </c>
      <c r="B197" s="3" t="s">
        <v>20</v>
      </c>
      <c r="C197" s="7">
        <v>35.624619</v>
      </c>
      <c r="D197" s="7">
        <v>139.683044</v>
      </c>
      <c r="E197" s="3">
        <v>1.0</v>
      </c>
      <c r="F197" s="3" t="s">
        <v>55</v>
      </c>
      <c r="G197" s="5">
        <f>(C197-'Pesos GPS'!$L$4)/'Pesos GPS'!$L$5</f>
        <v>-1.020713331</v>
      </c>
      <c r="H197" s="5">
        <f>(D197-'Pesos GPS'!$L$6)/'Pesos GPS'!$L$7</f>
        <v>1.000322384</v>
      </c>
      <c r="I197" s="5">
        <f>MAX(0,G197*'Pesos GPS'!B$6+H197*'Pesos GPS'!B$7+'Pesos GPS'!B$8)</f>
        <v>0</v>
      </c>
      <c r="J197" s="5">
        <f>MAX(0,G197*'Pesos GPS'!C$6+H197*'Pesos GPS'!C$7+'Pesos GPS'!C$8)</f>
        <v>0</v>
      </c>
      <c r="K197" s="5">
        <f>MAX(0,G197*'Pesos GPS'!D$6+H197*'Pesos GPS'!D$7+'Pesos GPS'!D$8)</f>
        <v>0</v>
      </c>
      <c r="L197" s="5">
        <f>MAX(0,G197*'Pesos GPS'!E$6+H197*'Pesos GPS'!E$7+'Pesos GPS'!E$8)</f>
        <v>0</v>
      </c>
      <c r="M197" s="5">
        <f>MAX(0,I197*'Pesos GPS'!B$13+J197*'Pesos GPS'!B$14+K197*'Pesos GPS'!B$15+L197*'Pesos GPS'!B$16+'Pesos GPS'!B$17)</f>
        <v>0</v>
      </c>
      <c r="N197" s="5">
        <f>MAX(0,I197*'Pesos GPS'!C$13+J197*'Pesos GPS'!C$14+K197*'Pesos GPS'!C$15+L197*'Pesos GPS'!C$16+'Pesos GPS'!C$17)</f>
        <v>0</v>
      </c>
      <c r="O197" s="5">
        <f>MAX(0,I197*'Pesos GPS'!D$13+J197*'Pesos GPS'!D$14+K197*'Pesos GPS'!D$15+L197*'Pesos GPS'!D$16+'Pesos GPS'!D$17)</f>
        <v>0</v>
      </c>
      <c r="P197" s="5">
        <f>MAX(0,I197*'Pesos GPS'!E$13+J197*'Pesos GPS'!E$14+K197*'Pesos GPS'!E$15+L197*'Pesos GPS'!E$16+'Pesos GPS'!E$17)</f>
        <v>0</v>
      </c>
      <c r="Q197" s="5">
        <f>MAX(0,I197*'Pesos GPS'!F$13+J197*'Pesos GPS'!F$14+K197*'Pesos GPS'!F$15+L197*'Pesos GPS'!F$16+'Pesos GPS'!F$17)</f>
        <v>0</v>
      </c>
      <c r="R197" s="5">
        <f>MAX(0,I197*'Pesos GPS'!G$13+J197*'Pesos GPS'!G$14+K197*'Pesos GPS'!G$15+L197*'Pesos GPS'!G$16+'Pesos GPS'!G$17)</f>
        <v>0</v>
      </c>
      <c r="S197" s="5">
        <f>MAX(0,I197*'Pesos GPS'!H$13+J197*'Pesos GPS'!H$14+K197*'Pesos GPS'!H$15+L197*'Pesos GPS'!H$16+'Pesos GPS'!H$17)</f>
        <v>0</v>
      </c>
      <c r="T197" s="5">
        <f>MAX(0,I197*'Pesos GPS'!I$13+J197*'Pesos GPS'!I$14+K197*'Pesos GPS'!I$15+L197*'Pesos GPS'!I$16+'Pesos GPS'!I$17)</f>
        <v>0</v>
      </c>
      <c r="U197" s="5">
        <f>M197*'Pesos GPS'!$B$22+N197*'Pesos GPS'!$B$23+O197*'Pesos GPS'!$B$24+P197*'Pesos GPS'!$B$25+Q197*'Pesos GPS'!$B$26+R197*'Pesos GPS'!$B$27+S197*'Pesos GPS'!$B$28+T197*'Pesos GPS'!$B$29+'Pesos GPS'!$B$30</f>
        <v>2.37807146</v>
      </c>
      <c r="V197" s="5">
        <f t="shared" si="1"/>
        <v>0.9151397857</v>
      </c>
      <c r="W197" s="3">
        <f t="shared" si="2"/>
        <v>1</v>
      </c>
      <c r="X197" s="3">
        <f t="shared" si="3"/>
        <v>1</v>
      </c>
      <c r="Y197" s="9">
        <f t="shared" si="4"/>
        <v>0</v>
      </c>
      <c r="Z197" s="9">
        <v>0.9151397857284129</v>
      </c>
      <c r="AA197" s="3" t="str">
        <f t="shared" si="5"/>
        <v>OK</v>
      </c>
    </row>
    <row r="198" ht="15.75" customHeight="1">
      <c r="A198" s="3">
        <v>197.0</v>
      </c>
      <c r="B198" s="3" t="s">
        <v>20</v>
      </c>
      <c r="C198" s="7">
        <v>35.661422</v>
      </c>
      <c r="D198" s="7">
        <v>139.586201</v>
      </c>
      <c r="E198" s="3">
        <v>1.0</v>
      </c>
      <c r="F198" s="3" t="s">
        <v>55</v>
      </c>
      <c r="G198" s="5">
        <f>(C198-'Pesos GPS'!$L$4)/'Pesos GPS'!$L$5</f>
        <v>-1.006095065</v>
      </c>
      <c r="H198" s="5">
        <f>(D198-'Pesos GPS'!$L$6)/'Pesos GPS'!$L$7</f>
        <v>0.9994158497</v>
      </c>
      <c r="I198" s="5">
        <f>MAX(0,G198*'Pesos GPS'!B$6+H198*'Pesos GPS'!B$7+'Pesos GPS'!B$8)</f>
        <v>0</v>
      </c>
      <c r="J198" s="5">
        <f>MAX(0,G198*'Pesos GPS'!C$6+H198*'Pesos GPS'!C$7+'Pesos GPS'!C$8)</f>
        <v>0</v>
      </c>
      <c r="K198" s="5">
        <f>MAX(0,G198*'Pesos GPS'!D$6+H198*'Pesos GPS'!D$7+'Pesos GPS'!D$8)</f>
        <v>0</v>
      </c>
      <c r="L198" s="5">
        <f>MAX(0,G198*'Pesos GPS'!E$6+H198*'Pesos GPS'!E$7+'Pesos GPS'!E$8)</f>
        <v>0</v>
      </c>
      <c r="M198" s="5">
        <f>MAX(0,I198*'Pesos GPS'!B$13+J198*'Pesos GPS'!B$14+K198*'Pesos GPS'!B$15+L198*'Pesos GPS'!B$16+'Pesos GPS'!B$17)</f>
        <v>0</v>
      </c>
      <c r="N198" s="5">
        <f>MAX(0,I198*'Pesos GPS'!C$13+J198*'Pesos GPS'!C$14+K198*'Pesos GPS'!C$15+L198*'Pesos GPS'!C$16+'Pesos GPS'!C$17)</f>
        <v>0</v>
      </c>
      <c r="O198" s="5">
        <f>MAX(0,I198*'Pesos GPS'!D$13+J198*'Pesos GPS'!D$14+K198*'Pesos GPS'!D$15+L198*'Pesos GPS'!D$16+'Pesos GPS'!D$17)</f>
        <v>0</v>
      </c>
      <c r="P198" s="5">
        <f>MAX(0,I198*'Pesos GPS'!E$13+J198*'Pesos GPS'!E$14+K198*'Pesos GPS'!E$15+L198*'Pesos GPS'!E$16+'Pesos GPS'!E$17)</f>
        <v>0</v>
      </c>
      <c r="Q198" s="5">
        <f>MAX(0,I198*'Pesos GPS'!F$13+J198*'Pesos GPS'!F$14+K198*'Pesos GPS'!F$15+L198*'Pesos GPS'!F$16+'Pesos GPS'!F$17)</f>
        <v>0</v>
      </c>
      <c r="R198" s="5">
        <f>MAX(0,I198*'Pesos GPS'!G$13+J198*'Pesos GPS'!G$14+K198*'Pesos GPS'!G$15+L198*'Pesos GPS'!G$16+'Pesos GPS'!G$17)</f>
        <v>0</v>
      </c>
      <c r="S198" s="5">
        <f>MAX(0,I198*'Pesos GPS'!H$13+J198*'Pesos GPS'!H$14+K198*'Pesos GPS'!H$15+L198*'Pesos GPS'!H$16+'Pesos GPS'!H$17)</f>
        <v>0</v>
      </c>
      <c r="T198" s="5">
        <f>MAX(0,I198*'Pesos GPS'!I$13+J198*'Pesos GPS'!I$14+K198*'Pesos GPS'!I$15+L198*'Pesos GPS'!I$16+'Pesos GPS'!I$17)</f>
        <v>0</v>
      </c>
      <c r="U198" s="5">
        <f>M198*'Pesos GPS'!$B$22+N198*'Pesos GPS'!$B$23+O198*'Pesos GPS'!$B$24+P198*'Pesos GPS'!$B$25+Q198*'Pesos GPS'!$B$26+R198*'Pesos GPS'!$B$27+S198*'Pesos GPS'!$B$28+T198*'Pesos GPS'!$B$29+'Pesos GPS'!$B$30</f>
        <v>2.37807146</v>
      </c>
      <c r="V198" s="5">
        <f t="shared" si="1"/>
        <v>0.9151397857</v>
      </c>
      <c r="W198" s="3">
        <f t="shared" si="2"/>
        <v>1</v>
      </c>
      <c r="X198" s="3">
        <f t="shared" si="3"/>
        <v>1</v>
      </c>
      <c r="Y198" s="9">
        <f t="shared" si="4"/>
        <v>0</v>
      </c>
      <c r="Z198" s="9">
        <v>0.9151397857284129</v>
      </c>
      <c r="AA198" s="3" t="str">
        <f t="shared" si="5"/>
        <v>OK</v>
      </c>
    </row>
    <row r="199" ht="15.75" customHeight="1">
      <c r="A199" s="3">
        <v>198.0</v>
      </c>
      <c r="B199" s="3" t="s">
        <v>20</v>
      </c>
      <c r="C199" s="7">
        <v>35.690973</v>
      </c>
      <c r="D199" s="7">
        <v>139.638554</v>
      </c>
      <c r="E199" s="3">
        <v>1.0</v>
      </c>
      <c r="F199" s="3" t="s">
        <v>55</v>
      </c>
      <c r="G199" s="5">
        <f>(C199-'Pesos GPS'!$L$4)/'Pesos GPS'!$L$5</f>
        <v>-0.994357316</v>
      </c>
      <c r="H199" s="5">
        <f>(D199-'Pesos GPS'!$L$6)/'Pesos GPS'!$L$7</f>
        <v>0.9999059192</v>
      </c>
      <c r="I199" s="5">
        <f>MAX(0,G199*'Pesos GPS'!B$6+H199*'Pesos GPS'!B$7+'Pesos GPS'!B$8)</f>
        <v>0</v>
      </c>
      <c r="J199" s="5">
        <f>MAX(0,G199*'Pesos GPS'!C$6+H199*'Pesos GPS'!C$7+'Pesos GPS'!C$8)</f>
        <v>0</v>
      </c>
      <c r="K199" s="5">
        <f>MAX(0,G199*'Pesos GPS'!D$6+H199*'Pesos GPS'!D$7+'Pesos GPS'!D$8)</f>
        <v>0</v>
      </c>
      <c r="L199" s="5">
        <f>MAX(0,G199*'Pesos GPS'!E$6+H199*'Pesos GPS'!E$7+'Pesos GPS'!E$8)</f>
        <v>0</v>
      </c>
      <c r="M199" s="5">
        <f>MAX(0,I199*'Pesos GPS'!B$13+J199*'Pesos GPS'!B$14+K199*'Pesos GPS'!B$15+L199*'Pesos GPS'!B$16+'Pesos GPS'!B$17)</f>
        <v>0</v>
      </c>
      <c r="N199" s="5">
        <f>MAX(0,I199*'Pesos GPS'!C$13+J199*'Pesos GPS'!C$14+K199*'Pesos GPS'!C$15+L199*'Pesos GPS'!C$16+'Pesos GPS'!C$17)</f>
        <v>0</v>
      </c>
      <c r="O199" s="5">
        <f>MAX(0,I199*'Pesos GPS'!D$13+J199*'Pesos GPS'!D$14+K199*'Pesos GPS'!D$15+L199*'Pesos GPS'!D$16+'Pesos GPS'!D$17)</f>
        <v>0</v>
      </c>
      <c r="P199" s="5">
        <f>MAX(0,I199*'Pesos GPS'!E$13+J199*'Pesos GPS'!E$14+K199*'Pesos GPS'!E$15+L199*'Pesos GPS'!E$16+'Pesos GPS'!E$17)</f>
        <v>0</v>
      </c>
      <c r="Q199" s="5">
        <f>MAX(0,I199*'Pesos GPS'!F$13+J199*'Pesos GPS'!F$14+K199*'Pesos GPS'!F$15+L199*'Pesos GPS'!F$16+'Pesos GPS'!F$17)</f>
        <v>0</v>
      </c>
      <c r="R199" s="5">
        <f>MAX(0,I199*'Pesos GPS'!G$13+J199*'Pesos GPS'!G$14+K199*'Pesos GPS'!G$15+L199*'Pesos GPS'!G$16+'Pesos GPS'!G$17)</f>
        <v>0</v>
      </c>
      <c r="S199" s="5">
        <f>MAX(0,I199*'Pesos GPS'!H$13+J199*'Pesos GPS'!H$14+K199*'Pesos GPS'!H$15+L199*'Pesos GPS'!H$16+'Pesos GPS'!H$17)</f>
        <v>0</v>
      </c>
      <c r="T199" s="5">
        <f>MAX(0,I199*'Pesos GPS'!I$13+J199*'Pesos GPS'!I$14+K199*'Pesos GPS'!I$15+L199*'Pesos GPS'!I$16+'Pesos GPS'!I$17)</f>
        <v>0</v>
      </c>
      <c r="U199" s="5">
        <f>M199*'Pesos GPS'!$B$22+N199*'Pesos GPS'!$B$23+O199*'Pesos GPS'!$B$24+P199*'Pesos GPS'!$B$25+Q199*'Pesos GPS'!$B$26+R199*'Pesos GPS'!$B$27+S199*'Pesos GPS'!$B$28+T199*'Pesos GPS'!$B$29+'Pesos GPS'!$B$30</f>
        <v>2.37807146</v>
      </c>
      <c r="V199" s="5">
        <f t="shared" si="1"/>
        <v>0.9151397857</v>
      </c>
      <c r="W199" s="3">
        <f t="shared" si="2"/>
        <v>1</v>
      </c>
      <c r="X199" s="3">
        <f t="shared" si="3"/>
        <v>1</v>
      </c>
      <c r="Y199" s="9">
        <f t="shared" si="4"/>
        <v>0</v>
      </c>
      <c r="Z199" s="9">
        <v>0.9151397857284129</v>
      </c>
      <c r="AA199" s="3" t="str">
        <f t="shared" si="5"/>
        <v>OK</v>
      </c>
    </row>
    <row r="200" ht="15.75" customHeight="1">
      <c r="A200" s="3">
        <v>199.0</v>
      </c>
      <c r="B200" s="3" t="s">
        <v>20</v>
      </c>
      <c r="C200" s="7">
        <v>35.63666</v>
      </c>
      <c r="D200" s="7">
        <v>139.580622</v>
      </c>
      <c r="E200" s="3">
        <v>1.0</v>
      </c>
      <c r="F200" s="3" t="s">
        <v>55</v>
      </c>
      <c r="G200" s="5">
        <f>(C200-'Pesos GPS'!$L$4)/'Pesos GPS'!$L$5</f>
        <v>-1.015930609</v>
      </c>
      <c r="H200" s="5">
        <f>(D200-'Pesos GPS'!$L$6)/'Pesos GPS'!$L$7</f>
        <v>0.9993636254</v>
      </c>
      <c r="I200" s="5">
        <f>MAX(0,G200*'Pesos GPS'!B$6+H200*'Pesos GPS'!B$7+'Pesos GPS'!B$8)</f>
        <v>0</v>
      </c>
      <c r="J200" s="5">
        <f>MAX(0,G200*'Pesos GPS'!C$6+H200*'Pesos GPS'!C$7+'Pesos GPS'!C$8)</f>
        <v>0</v>
      </c>
      <c r="K200" s="5">
        <f>MAX(0,G200*'Pesos GPS'!D$6+H200*'Pesos GPS'!D$7+'Pesos GPS'!D$8)</f>
        <v>0</v>
      </c>
      <c r="L200" s="5">
        <f>MAX(0,G200*'Pesos GPS'!E$6+H200*'Pesos GPS'!E$7+'Pesos GPS'!E$8)</f>
        <v>0</v>
      </c>
      <c r="M200" s="5">
        <f>MAX(0,I200*'Pesos GPS'!B$13+J200*'Pesos GPS'!B$14+K200*'Pesos GPS'!B$15+L200*'Pesos GPS'!B$16+'Pesos GPS'!B$17)</f>
        <v>0</v>
      </c>
      <c r="N200" s="5">
        <f>MAX(0,I200*'Pesos GPS'!C$13+J200*'Pesos GPS'!C$14+K200*'Pesos GPS'!C$15+L200*'Pesos GPS'!C$16+'Pesos GPS'!C$17)</f>
        <v>0</v>
      </c>
      <c r="O200" s="5">
        <f>MAX(0,I200*'Pesos GPS'!D$13+J200*'Pesos GPS'!D$14+K200*'Pesos GPS'!D$15+L200*'Pesos GPS'!D$16+'Pesos GPS'!D$17)</f>
        <v>0</v>
      </c>
      <c r="P200" s="5">
        <f>MAX(0,I200*'Pesos GPS'!E$13+J200*'Pesos GPS'!E$14+K200*'Pesos GPS'!E$15+L200*'Pesos GPS'!E$16+'Pesos GPS'!E$17)</f>
        <v>0</v>
      </c>
      <c r="Q200" s="5">
        <f>MAX(0,I200*'Pesos GPS'!F$13+J200*'Pesos GPS'!F$14+K200*'Pesos GPS'!F$15+L200*'Pesos GPS'!F$16+'Pesos GPS'!F$17)</f>
        <v>0</v>
      </c>
      <c r="R200" s="5">
        <f>MAX(0,I200*'Pesos GPS'!G$13+J200*'Pesos GPS'!G$14+K200*'Pesos GPS'!G$15+L200*'Pesos GPS'!G$16+'Pesos GPS'!G$17)</f>
        <v>0</v>
      </c>
      <c r="S200" s="5">
        <f>MAX(0,I200*'Pesos GPS'!H$13+J200*'Pesos GPS'!H$14+K200*'Pesos GPS'!H$15+L200*'Pesos GPS'!H$16+'Pesos GPS'!H$17)</f>
        <v>0</v>
      </c>
      <c r="T200" s="5">
        <f>MAX(0,I200*'Pesos GPS'!I$13+J200*'Pesos GPS'!I$14+K200*'Pesos GPS'!I$15+L200*'Pesos GPS'!I$16+'Pesos GPS'!I$17)</f>
        <v>0</v>
      </c>
      <c r="U200" s="5">
        <f>M200*'Pesos GPS'!$B$22+N200*'Pesos GPS'!$B$23+O200*'Pesos GPS'!$B$24+P200*'Pesos GPS'!$B$25+Q200*'Pesos GPS'!$B$26+R200*'Pesos GPS'!$B$27+S200*'Pesos GPS'!$B$28+T200*'Pesos GPS'!$B$29+'Pesos GPS'!$B$30</f>
        <v>2.37807146</v>
      </c>
      <c r="V200" s="5">
        <f t="shared" si="1"/>
        <v>0.9151397857</v>
      </c>
      <c r="W200" s="3">
        <f t="shared" si="2"/>
        <v>1</v>
      </c>
      <c r="X200" s="3">
        <f t="shared" si="3"/>
        <v>1</v>
      </c>
      <c r="Y200" s="9">
        <f t="shared" si="4"/>
        <v>0</v>
      </c>
      <c r="Z200" s="9">
        <v>0.9151397857284129</v>
      </c>
      <c r="AA200" s="3" t="str">
        <f t="shared" si="5"/>
        <v>OK</v>
      </c>
    </row>
    <row r="201" ht="15.75" customHeight="1">
      <c r="A201" s="3">
        <v>200.0</v>
      </c>
      <c r="B201" s="3" t="s">
        <v>20</v>
      </c>
      <c r="C201" s="7">
        <v>35.713099</v>
      </c>
      <c r="D201" s="7">
        <v>139.597973</v>
      </c>
      <c r="E201" s="3">
        <v>1.0</v>
      </c>
      <c r="F201" s="3" t="s">
        <v>55</v>
      </c>
      <c r="G201" s="5">
        <f>(C201-'Pesos GPS'!$L$4)/'Pesos GPS'!$L$5</f>
        <v>-0.9855687999</v>
      </c>
      <c r="H201" s="5">
        <f>(D201-'Pesos GPS'!$L$6)/'Pesos GPS'!$L$7</f>
        <v>0.9995260458</v>
      </c>
      <c r="I201" s="5">
        <f>MAX(0,G201*'Pesos GPS'!B$6+H201*'Pesos GPS'!B$7+'Pesos GPS'!B$8)</f>
        <v>0</v>
      </c>
      <c r="J201" s="5">
        <f>MAX(0,G201*'Pesos GPS'!C$6+H201*'Pesos GPS'!C$7+'Pesos GPS'!C$8)</f>
        <v>0</v>
      </c>
      <c r="K201" s="5">
        <f>MAX(0,G201*'Pesos GPS'!D$6+H201*'Pesos GPS'!D$7+'Pesos GPS'!D$8)</f>
        <v>0</v>
      </c>
      <c r="L201" s="5">
        <f>MAX(0,G201*'Pesos GPS'!E$6+H201*'Pesos GPS'!E$7+'Pesos GPS'!E$8)</f>
        <v>0</v>
      </c>
      <c r="M201" s="5">
        <f>MAX(0,I201*'Pesos GPS'!B$13+J201*'Pesos GPS'!B$14+K201*'Pesos GPS'!B$15+L201*'Pesos GPS'!B$16+'Pesos GPS'!B$17)</f>
        <v>0</v>
      </c>
      <c r="N201" s="5">
        <f>MAX(0,I201*'Pesos GPS'!C$13+J201*'Pesos GPS'!C$14+K201*'Pesos GPS'!C$15+L201*'Pesos GPS'!C$16+'Pesos GPS'!C$17)</f>
        <v>0</v>
      </c>
      <c r="O201" s="5">
        <f>MAX(0,I201*'Pesos GPS'!D$13+J201*'Pesos GPS'!D$14+K201*'Pesos GPS'!D$15+L201*'Pesos GPS'!D$16+'Pesos GPS'!D$17)</f>
        <v>0</v>
      </c>
      <c r="P201" s="5">
        <f>MAX(0,I201*'Pesos GPS'!E$13+J201*'Pesos GPS'!E$14+K201*'Pesos GPS'!E$15+L201*'Pesos GPS'!E$16+'Pesos GPS'!E$17)</f>
        <v>0</v>
      </c>
      <c r="Q201" s="5">
        <f>MAX(0,I201*'Pesos GPS'!F$13+J201*'Pesos GPS'!F$14+K201*'Pesos GPS'!F$15+L201*'Pesos GPS'!F$16+'Pesos GPS'!F$17)</f>
        <v>0</v>
      </c>
      <c r="R201" s="5">
        <f>MAX(0,I201*'Pesos GPS'!G$13+J201*'Pesos GPS'!G$14+K201*'Pesos GPS'!G$15+L201*'Pesos GPS'!G$16+'Pesos GPS'!G$17)</f>
        <v>0</v>
      </c>
      <c r="S201" s="5">
        <f>MAX(0,I201*'Pesos GPS'!H$13+J201*'Pesos GPS'!H$14+K201*'Pesos GPS'!H$15+L201*'Pesos GPS'!H$16+'Pesos GPS'!H$17)</f>
        <v>0</v>
      </c>
      <c r="T201" s="5">
        <f>MAX(0,I201*'Pesos GPS'!I$13+J201*'Pesos GPS'!I$14+K201*'Pesos GPS'!I$15+L201*'Pesos GPS'!I$16+'Pesos GPS'!I$17)</f>
        <v>0</v>
      </c>
      <c r="U201" s="5">
        <f>M201*'Pesos GPS'!$B$22+N201*'Pesos GPS'!$B$23+O201*'Pesos GPS'!$B$24+P201*'Pesos GPS'!$B$25+Q201*'Pesos GPS'!$B$26+R201*'Pesos GPS'!$B$27+S201*'Pesos GPS'!$B$28+T201*'Pesos GPS'!$B$29+'Pesos GPS'!$B$30</f>
        <v>2.37807146</v>
      </c>
      <c r="V201" s="5">
        <f t="shared" si="1"/>
        <v>0.9151397857</v>
      </c>
      <c r="W201" s="3">
        <f t="shared" si="2"/>
        <v>1</v>
      </c>
      <c r="X201" s="3">
        <f t="shared" si="3"/>
        <v>1</v>
      </c>
      <c r="Y201" s="9">
        <f t="shared" si="4"/>
        <v>0</v>
      </c>
      <c r="Z201" s="9">
        <v>0.9151397857284129</v>
      </c>
      <c r="AA201" s="3" t="str">
        <f t="shared" si="5"/>
        <v>OK</v>
      </c>
    </row>
    <row r="202" ht="15.75" customHeight="1">
      <c r="A202" s="3">
        <v>201.0</v>
      </c>
      <c r="B202" s="3" t="s">
        <v>20</v>
      </c>
      <c r="C202" s="7">
        <v>35.685409</v>
      </c>
      <c r="D202" s="7">
        <v>139.698035</v>
      </c>
      <c r="E202" s="3">
        <v>1.0</v>
      </c>
      <c r="F202" s="3" t="s">
        <v>55</v>
      </c>
      <c r="G202" s="5">
        <f>(C202-'Pesos GPS'!$L$4)/'Pesos GPS'!$L$5</f>
        <v>-0.9965673541</v>
      </c>
      <c r="H202" s="5">
        <f>(D202-'Pesos GPS'!$L$6)/'Pesos GPS'!$L$7</f>
        <v>1.000462713</v>
      </c>
      <c r="I202" s="5">
        <f>MAX(0,G202*'Pesos GPS'!B$6+H202*'Pesos GPS'!B$7+'Pesos GPS'!B$8)</f>
        <v>0</v>
      </c>
      <c r="J202" s="5">
        <f>MAX(0,G202*'Pesos GPS'!C$6+H202*'Pesos GPS'!C$7+'Pesos GPS'!C$8)</f>
        <v>0</v>
      </c>
      <c r="K202" s="5">
        <f>MAX(0,G202*'Pesos GPS'!D$6+H202*'Pesos GPS'!D$7+'Pesos GPS'!D$8)</f>
        <v>0</v>
      </c>
      <c r="L202" s="5">
        <f>MAX(0,G202*'Pesos GPS'!E$6+H202*'Pesos GPS'!E$7+'Pesos GPS'!E$8)</f>
        <v>0</v>
      </c>
      <c r="M202" s="5">
        <f>MAX(0,I202*'Pesos GPS'!B$13+J202*'Pesos GPS'!B$14+K202*'Pesos GPS'!B$15+L202*'Pesos GPS'!B$16+'Pesos GPS'!B$17)</f>
        <v>0</v>
      </c>
      <c r="N202" s="5">
        <f>MAX(0,I202*'Pesos GPS'!C$13+J202*'Pesos GPS'!C$14+K202*'Pesos GPS'!C$15+L202*'Pesos GPS'!C$16+'Pesos GPS'!C$17)</f>
        <v>0</v>
      </c>
      <c r="O202" s="5">
        <f>MAX(0,I202*'Pesos GPS'!D$13+J202*'Pesos GPS'!D$14+K202*'Pesos GPS'!D$15+L202*'Pesos GPS'!D$16+'Pesos GPS'!D$17)</f>
        <v>0</v>
      </c>
      <c r="P202" s="5">
        <f>MAX(0,I202*'Pesos GPS'!E$13+J202*'Pesos GPS'!E$14+K202*'Pesos GPS'!E$15+L202*'Pesos GPS'!E$16+'Pesos GPS'!E$17)</f>
        <v>0</v>
      </c>
      <c r="Q202" s="5">
        <f>MAX(0,I202*'Pesos GPS'!F$13+J202*'Pesos GPS'!F$14+K202*'Pesos GPS'!F$15+L202*'Pesos GPS'!F$16+'Pesos GPS'!F$17)</f>
        <v>0</v>
      </c>
      <c r="R202" s="5">
        <f>MAX(0,I202*'Pesos GPS'!G$13+J202*'Pesos GPS'!G$14+K202*'Pesos GPS'!G$15+L202*'Pesos GPS'!G$16+'Pesos GPS'!G$17)</f>
        <v>0</v>
      </c>
      <c r="S202" s="5">
        <f>MAX(0,I202*'Pesos GPS'!H$13+J202*'Pesos GPS'!H$14+K202*'Pesos GPS'!H$15+L202*'Pesos GPS'!H$16+'Pesos GPS'!H$17)</f>
        <v>0</v>
      </c>
      <c r="T202" s="5">
        <f>MAX(0,I202*'Pesos GPS'!I$13+J202*'Pesos GPS'!I$14+K202*'Pesos GPS'!I$15+L202*'Pesos GPS'!I$16+'Pesos GPS'!I$17)</f>
        <v>0</v>
      </c>
      <c r="U202" s="5">
        <f>M202*'Pesos GPS'!$B$22+N202*'Pesos GPS'!$B$23+O202*'Pesos GPS'!$B$24+P202*'Pesos GPS'!$B$25+Q202*'Pesos GPS'!$B$26+R202*'Pesos GPS'!$B$27+S202*'Pesos GPS'!$B$28+T202*'Pesos GPS'!$B$29+'Pesos GPS'!$B$30</f>
        <v>2.37807146</v>
      </c>
      <c r="V202" s="5">
        <f t="shared" si="1"/>
        <v>0.9151397857</v>
      </c>
      <c r="W202" s="3">
        <f t="shared" si="2"/>
        <v>1</v>
      </c>
      <c r="X202" s="3">
        <f t="shared" si="3"/>
        <v>1</v>
      </c>
      <c r="Y202" s="9">
        <f t="shared" si="4"/>
        <v>0</v>
      </c>
      <c r="Z202" s="9">
        <v>0.9151397857284129</v>
      </c>
      <c r="AA202" s="3" t="str">
        <f t="shared" si="5"/>
        <v>OK</v>
      </c>
    </row>
    <row r="203" ht="15.75" customHeight="1">
      <c r="A203" s="3">
        <v>202.0</v>
      </c>
      <c r="B203" s="3" t="s">
        <v>20</v>
      </c>
      <c r="C203" s="7">
        <v>35.697365</v>
      </c>
      <c r="D203" s="7">
        <v>139.681631</v>
      </c>
      <c r="E203" s="3">
        <v>1.0</v>
      </c>
      <c r="F203" s="3" t="s">
        <v>55</v>
      </c>
      <c r="G203" s="5">
        <f>(C203-'Pesos GPS'!$L$4)/'Pesos GPS'!$L$5</f>
        <v>-0.9918183937</v>
      </c>
      <c r="H203" s="5">
        <f>(D203-'Pesos GPS'!$L$6)/'Pesos GPS'!$L$7</f>
        <v>1.000309157</v>
      </c>
      <c r="I203" s="5">
        <f>MAX(0,G203*'Pesos GPS'!B$6+H203*'Pesos GPS'!B$7+'Pesos GPS'!B$8)</f>
        <v>0</v>
      </c>
      <c r="J203" s="5">
        <f>MAX(0,G203*'Pesos GPS'!C$6+H203*'Pesos GPS'!C$7+'Pesos GPS'!C$8)</f>
        <v>0</v>
      </c>
      <c r="K203" s="5">
        <f>MAX(0,G203*'Pesos GPS'!D$6+H203*'Pesos GPS'!D$7+'Pesos GPS'!D$8)</f>
        <v>0</v>
      </c>
      <c r="L203" s="5">
        <f>MAX(0,G203*'Pesos GPS'!E$6+H203*'Pesos GPS'!E$7+'Pesos GPS'!E$8)</f>
        <v>0</v>
      </c>
      <c r="M203" s="5">
        <f>MAX(0,I203*'Pesos GPS'!B$13+J203*'Pesos GPS'!B$14+K203*'Pesos GPS'!B$15+L203*'Pesos GPS'!B$16+'Pesos GPS'!B$17)</f>
        <v>0</v>
      </c>
      <c r="N203" s="5">
        <f>MAX(0,I203*'Pesos GPS'!C$13+J203*'Pesos GPS'!C$14+K203*'Pesos GPS'!C$15+L203*'Pesos GPS'!C$16+'Pesos GPS'!C$17)</f>
        <v>0</v>
      </c>
      <c r="O203" s="5">
        <f>MAX(0,I203*'Pesos GPS'!D$13+J203*'Pesos GPS'!D$14+K203*'Pesos GPS'!D$15+L203*'Pesos GPS'!D$16+'Pesos GPS'!D$17)</f>
        <v>0</v>
      </c>
      <c r="P203" s="5">
        <f>MAX(0,I203*'Pesos GPS'!E$13+J203*'Pesos GPS'!E$14+K203*'Pesos GPS'!E$15+L203*'Pesos GPS'!E$16+'Pesos GPS'!E$17)</f>
        <v>0</v>
      </c>
      <c r="Q203" s="5">
        <f>MAX(0,I203*'Pesos GPS'!F$13+J203*'Pesos GPS'!F$14+K203*'Pesos GPS'!F$15+L203*'Pesos GPS'!F$16+'Pesos GPS'!F$17)</f>
        <v>0</v>
      </c>
      <c r="R203" s="5">
        <f>MAX(0,I203*'Pesos GPS'!G$13+J203*'Pesos GPS'!G$14+K203*'Pesos GPS'!G$15+L203*'Pesos GPS'!G$16+'Pesos GPS'!G$17)</f>
        <v>0</v>
      </c>
      <c r="S203" s="5">
        <f>MAX(0,I203*'Pesos GPS'!H$13+J203*'Pesos GPS'!H$14+K203*'Pesos GPS'!H$15+L203*'Pesos GPS'!H$16+'Pesos GPS'!H$17)</f>
        <v>0</v>
      </c>
      <c r="T203" s="5">
        <f>MAX(0,I203*'Pesos GPS'!I$13+J203*'Pesos GPS'!I$14+K203*'Pesos GPS'!I$15+L203*'Pesos GPS'!I$16+'Pesos GPS'!I$17)</f>
        <v>0</v>
      </c>
      <c r="U203" s="5">
        <f>M203*'Pesos GPS'!$B$22+N203*'Pesos GPS'!$B$23+O203*'Pesos GPS'!$B$24+P203*'Pesos GPS'!$B$25+Q203*'Pesos GPS'!$B$26+R203*'Pesos GPS'!$B$27+S203*'Pesos GPS'!$B$28+T203*'Pesos GPS'!$B$29+'Pesos GPS'!$B$30</f>
        <v>2.37807146</v>
      </c>
      <c r="V203" s="5">
        <f t="shared" si="1"/>
        <v>0.9151397857</v>
      </c>
      <c r="W203" s="3">
        <f t="shared" si="2"/>
        <v>1</v>
      </c>
      <c r="X203" s="3">
        <f t="shared" si="3"/>
        <v>1</v>
      </c>
      <c r="Y203" s="9">
        <f t="shared" si="4"/>
        <v>0</v>
      </c>
      <c r="Z203" s="9">
        <v>0.9151397857284129</v>
      </c>
      <c r="AA203" s="3" t="str">
        <f t="shared" si="5"/>
        <v>OK</v>
      </c>
    </row>
    <row r="204" ht="15.75" customHeight="1">
      <c r="A204" s="3">
        <v>203.0</v>
      </c>
      <c r="B204" s="3" t="s">
        <v>20</v>
      </c>
      <c r="C204" s="7">
        <v>35.661926</v>
      </c>
      <c r="D204" s="7">
        <v>139.625118</v>
      </c>
      <c r="E204" s="3">
        <v>1.0</v>
      </c>
      <c r="F204" s="3" t="s">
        <v>55</v>
      </c>
      <c r="G204" s="5">
        <f>(C204-'Pesos GPS'!$L$4)/'Pesos GPS'!$L$5</f>
        <v>-1.005894875</v>
      </c>
      <c r="H204" s="5">
        <f>(D204-'Pesos GPS'!$L$6)/'Pesos GPS'!$L$7</f>
        <v>0.9997801466</v>
      </c>
      <c r="I204" s="5">
        <f>MAX(0,G204*'Pesos GPS'!B$6+H204*'Pesos GPS'!B$7+'Pesos GPS'!B$8)</f>
        <v>0</v>
      </c>
      <c r="J204" s="5">
        <f>MAX(0,G204*'Pesos GPS'!C$6+H204*'Pesos GPS'!C$7+'Pesos GPS'!C$8)</f>
        <v>0</v>
      </c>
      <c r="K204" s="5">
        <f>MAX(0,G204*'Pesos GPS'!D$6+H204*'Pesos GPS'!D$7+'Pesos GPS'!D$8)</f>
        <v>0</v>
      </c>
      <c r="L204" s="5">
        <f>MAX(0,G204*'Pesos GPS'!E$6+H204*'Pesos GPS'!E$7+'Pesos GPS'!E$8)</f>
        <v>0</v>
      </c>
      <c r="M204" s="5">
        <f>MAX(0,I204*'Pesos GPS'!B$13+J204*'Pesos GPS'!B$14+K204*'Pesos GPS'!B$15+L204*'Pesos GPS'!B$16+'Pesos GPS'!B$17)</f>
        <v>0</v>
      </c>
      <c r="N204" s="5">
        <f>MAX(0,I204*'Pesos GPS'!C$13+J204*'Pesos GPS'!C$14+K204*'Pesos GPS'!C$15+L204*'Pesos GPS'!C$16+'Pesos GPS'!C$17)</f>
        <v>0</v>
      </c>
      <c r="O204" s="5">
        <f>MAX(0,I204*'Pesos GPS'!D$13+J204*'Pesos GPS'!D$14+K204*'Pesos GPS'!D$15+L204*'Pesos GPS'!D$16+'Pesos GPS'!D$17)</f>
        <v>0</v>
      </c>
      <c r="P204" s="5">
        <f>MAX(0,I204*'Pesos GPS'!E$13+J204*'Pesos GPS'!E$14+K204*'Pesos GPS'!E$15+L204*'Pesos GPS'!E$16+'Pesos GPS'!E$17)</f>
        <v>0</v>
      </c>
      <c r="Q204" s="5">
        <f>MAX(0,I204*'Pesos GPS'!F$13+J204*'Pesos GPS'!F$14+K204*'Pesos GPS'!F$15+L204*'Pesos GPS'!F$16+'Pesos GPS'!F$17)</f>
        <v>0</v>
      </c>
      <c r="R204" s="5">
        <f>MAX(0,I204*'Pesos GPS'!G$13+J204*'Pesos GPS'!G$14+K204*'Pesos GPS'!G$15+L204*'Pesos GPS'!G$16+'Pesos GPS'!G$17)</f>
        <v>0</v>
      </c>
      <c r="S204" s="5">
        <f>MAX(0,I204*'Pesos GPS'!H$13+J204*'Pesos GPS'!H$14+K204*'Pesos GPS'!H$15+L204*'Pesos GPS'!H$16+'Pesos GPS'!H$17)</f>
        <v>0</v>
      </c>
      <c r="T204" s="5">
        <f>MAX(0,I204*'Pesos GPS'!I$13+J204*'Pesos GPS'!I$14+K204*'Pesos GPS'!I$15+L204*'Pesos GPS'!I$16+'Pesos GPS'!I$17)</f>
        <v>0</v>
      </c>
      <c r="U204" s="5">
        <f>M204*'Pesos GPS'!$B$22+N204*'Pesos GPS'!$B$23+O204*'Pesos GPS'!$B$24+P204*'Pesos GPS'!$B$25+Q204*'Pesos GPS'!$B$26+R204*'Pesos GPS'!$B$27+S204*'Pesos GPS'!$B$28+T204*'Pesos GPS'!$B$29+'Pesos GPS'!$B$30</f>
        <v>2.37807146</v>
      </c>
      <c r="V204" s="5">
        <f t="shared" si="1"/>
        <v>0.9151397857</v>
      </c>
      <c r="W204" s="3">
        <f t="shared" si="2"/>
        <v>1</v>
      </c>
      <c r="X204" s="3">
        <f t="shared" si="3"/>
        <v>1</v>
      </c>
      <c r="Y204" s="9">
        <f t="shared" si="4"/>
        <v>0</v>
      </c>
      <c r="Z204" s="9">
        <v>0.9151397857284129</v>
      </c>
      <c r="AA204" s="3" t="str">
        <f t="shared" si="5"/>
        <v>OK</v>
      </c>
    </row>
    <row r="205" ht="15.75" customHeight="1">
      <c r="A205" s="3">
        <v>204.0</v>
      </c>
      <c r="B205" s="3" t="s">
        <v>20</v>
      </c>
      <c r="C205" s="7">
        <v>35.696544</v>
      </c>
      <c r="D205" s="7">
        <v>139.597712</v>
      </c>
      <c r="E205" s="3">
        <v>1.0</v>
      </c>
      <c r="F205" s="3" t="s">
        <v>55</v>
      </c>
      <c r="G205" s="5">
        <f>(C205-'Pesos GPS'!$L$4)/'Pesos GPS'!$L$5</f>
        <v>-0.9921444974</v>
      </c>
      <c r="H205" s="5">
        <f>(D205-'Pesos GPS'!$L$6)/'Pesos GPS'!$L$7</f>
        <v>0.9995236026</v>
      </c>
      <c r="I205" s="5">
        <f>MAX(0,G205*'Pesos GPS'!B$6+H205*'Pesos GPS'!B$7+'Pesos GPS'!B$8)</f>
        <v>0</v>
      </c>
      <c r="J205" s="5">
        <f>MAX(0,G205*'Pesos GPS'!C$6+H205*'Pesos GPS'!C$7+'Pesos GPS'!C$8)</f>
        <v>0</v>
      </c>
      <c r="K205" s="5">
        <f>MAX(0,G205*'Pesos GPS'!D$6+H205*'Pesos GPS'!D$7+'Pesos GPS'!D$8)</f>
        <v>0</v>
      </c>
      <c r="L205" s="5">
        <f>MAX(0,G205*'Pesos GPS'!E$6+H205*'Pesos GPS'!E$7+'Pesos GPS'!E$8)</f>
        <v>0</v>
      </c>
      <c r="M205" s="5">
        <f>MAX(0,I205*'Pesos GPS'!B$13+J205*'Pesos GPS'!B$14+K205*'Pesos GPS'!B$15+L205*'Pesos GPS'!B$16+'Pesos GPS'!B$17)</f>
        <v>0</v>
      </c>
      <c r="N205" s="5">
        <f>MAX(0,I205*'Pesos GPS'!C$13+J205*'Pesos GPS'!C$14+K205*'Pesos GPS'!C$15+L205*'Pesos GPS'!C$16+'Pesos GPS'!C$17)</f>
        <v>0</v>
      </c>
      <c r="O205" s="5">
        <f>MAX(0,I205*'Pesos GPS'!D$13+J205*'Pesos GPS'!D$14+K205*'Pesos GPS'!D$15+L205*'Pesos GPS'!D$16+'Pesos GPS'!D$17)</f>
        <v>0</v>
      </c>
      <c r="P205" s="5">
        <f>MAX(0,I205*'Pesos GPS'!E$13+J205*'Pesos GPS'!E$14+K205*'Pesos GPS'!E$15+L205*'Pesos GPS'!E$16+'Pesos GPS'!E$17)</f>
        <v>0</v>
      </c>
      <c r="Q205" s="5">
        <f>MAX(0,I205*'Pesos GPS'!F$13+J205*'Pesos GPS'!F$14+K205*'Pesos GPS'!F$15+L205*'Pesos GPS'!F$16+'Pesos GPS'!F$17)</f>
        <v>0</v>
      </c>
      <c r="R205" s="5">
        <f>MAX(0,I205*'Pesos GPS'!G$13+J205*'Pesos GPS'!G$14+K205*'Pesos GPS'!G$15+L205*'Pesos GPS'!G$16+'Pesos GPS'!G$17)</f>
        <v>0</v>
      </c>
      <c r="S205" s="5">
        <f>MAX(0,I205*'Pesos GPS'!H$13+J205*'Pesos GPS'!H$14+K205*'Pesos GPS'!H$15+L205*'Pesos GPS'!H$16+'Pesos GPS'!H$17)</f>
        <v>0</v>
      </c>
      <c r="T205" s="5">
        <f>MAX(0,I205*'Pesos GPS'!I$13+J205*'Pesos GPS'!I$14+K205*'Pesos GPS'!I$15+L205*'Pesos GPS'!I$16+'Pesos GPS'!I$17)</f>
        <v>0</v>
      </c>
      <c r="U205" s="5">
        <f>M205*'Pesos GPS'!$B$22+N205*'Pesos GPS'!$B$23+O205*'Pesos GPS'!$B$24+P205*'Pesos GPS'!$B$25+Q205*'Pesos GPS'!$B$26+R205*'Pesos GPS'!$B$27+S205*'Pesos GPS'!$B$28+T205*'Pesos GPS'!$B$29+'Pesos GPS'!$B$30</f>
        <v>2.37807146</v>
      </c>
      <c r="V205" s="5">
        <f t="shared" si="1"/>
        <v>0.9151397857</v>
      </c>
      <c r="W205" s="3">
        <f t="shared" si="2"/>
        <v>1</v>
      </c>
      <c r="X205" s="3">
        <f t="shared" si="3"/>
        <v>1</v>
      </c>
      <c r="Y205" s="9">
        <f t="shared" si="4"/>
        <v>0</v>
      </c>
      <c r="Z205" s="9">
        <v>0.9151397857284129</v>
      </c>
      <c r="AA205" s="3" t="str">
        <f t="shared" si="5"/>
        <v>OK</v>
      </c>
    </row>
    <row r="206" ht="15.75" customHeight="1">
      <c r="A206" s="3">
        <v>205.0</v>
      </c>
      <c r="B206" s="3" t="s">
        <v>20</v>
      </c>
      <c r="C206" s="7">
        <v>35.702912</v>
      </c>
      <c r="D206" s="7">
        <v>139.546541</v>
      </c>
      <c r="E206" s="3">
        <v>1.0</v>
      </c>
      <c r="F206" s="3" t="s">
        <v>55</v>
      </c>
      <c r="G206" s="5">
        <f>(C206-'Pesos GPS'!$L$4)/'Pesos GPS'!$L$5</f>
        <v>-0.989615108</v>
      </c>
      <c r="H206" s="5">
        <f>(D206-'Pesos GPS'!$L$6)/'Pesos GPS'!$L$7</f>
        <v>0.9990445976</v>
      </c>
      <c r="I206" s="5">
        <f>MAX(0,G206*'Pesos GPS'!B$6+H206*'Pesos GPS'!B$7+'Pesos GPS'!B$8)</f>
        <v>0</v>
      </c>
      <c r="J206" s="5">
        <f>MAX(0,G206*'Pesos GPS'!C$6+H206*'Pesos GPS'!C$7+'Pesos GPS'!C$8)</f>
        <v>0</v>
      </c>
      <c r="K206" s="5">
        <f>MAX(0,G206*'Pesos GPS'!D$6+H206*'Pesos GPS'!D$7+'Pesos GPS'!D$8)</f>
        <v>0</v>
      </c>
      <c r="L206" s="5">
        <f>MAX(0,G206*'Pesos GPS'!E$6+H206*'Pesos GPS'!E$7+'Pesos GPS'!E$8)</f>
        <v>0</v>
      </c>
      <c r="M206" s="5">
        <f>MAX(0,I206*'Pesos GPS'!B$13+J206*'Pesos GPS'!B$14+K206*'Pesos GPS'!B$15+L206*'Pesos GPS'!B$16+'Pesos GPS'!B$17)</f>
        <v>0</v>
      </c>
      <c r="N206" s="5">
        <f>MAX(0,I206*'Pesos GPS'!C$13+J206*'Pesos GPS'!C$14+K206*'Pesos GPS'!C$15+L206*'Pesos GPS'!C$16+'Pesos GPS'!C$17)</f>
        <v>0</v>
      </c>
      <c r="O206" s="5">
        <f>MAX(0,I206*'Pesos GPS'!D$13+J206*'Pesos GPS'!D$14+K206*'Pesos GPS'!D$15+L206*'Pesos GPS'!D$16+'Pesos GPS'!D$17)</f>
        <v>0</v>
      </c>
      <c r="P206" s="5">
        <f>MAX(0,I206*'Pesos GPS'!E$13+J206*'Pesos GPS'!E$14+K206*'Pesos GPS'!E$15+L206*'Pesos GPS'!E$16+'Pesos GPS'!E$17)</f>
        <v>0</v>
      </c>
      <c r="Q206" s="5">
        <f>MAX(0,I206*'Pesos GPS'!F$13+J206*'Pesos GPS'!F$14+K206*'Pesos GPS'!F$15+L206*'Pesos GPS'!F$16+'Pesos GPS'!F$17)</f>
        <v>0</v>
      </c>
      <c r="R206" s="5">
        <f>MAX(0,I206*'Pesos GPS'!G$13+J206*'Pesos GPS'!G$14+K206*'Pesos GPS'!G$15+L206*'Pesos GPS'!G$16+'Pesos GPS'!G$17)</f>
        <v>0</v>
      </c>
      <c r="S206" s="5">
        <f>MAX(0,I206*'Pesos GPS'!H$13+J206*'Pesos GPS'!H$14+K206*'Pesos GPS'!H$15+L206*'Pesos GPS'!H$16+'Pesos GPS'!H$17)</f>
        <v>0</v>
      </c>
      <c r="T206" s="5">
        <f>MAX(0,I206*'Pesos GPS'!I$13+J206*'Pesos GPS'!I$14+K206*'Pesos GPS'!I$15+L206*'Pesos GPS'!I$16+'Pesos GPS'!I$17)</f>
        <v>0</v>
      </c>
      <c r="U206" s="5">
        <f>M206*'Pesos GPS'!$B$22+N206*'Pesos GPS'!$B$23+O206*'Pesos GPS'!$B$24+P206*'Pesos GPS'!$B$25+Q206*'Pesos GPS'!$B$26+R206*'Pesos GPS'!$B$27+S206*'Pesos GPS'!$B$28+T206*'Pesos GPS'!$B$29+'Pesos GPS'!$B$30</f>
        <v>2.37807146</v>
      </c>
      <c r="V206" s="5">
        <f t="shared" si="1"/>
        <v>0.9151397857</v>
      </c>
      <c r="W206" s="3">
        <f t="shared" si="2"/>
        <v>1</v>
      </c>
      <c r="X206" s="3">
        <f t="shared" si="3"/>
        <v>1</v>
      </c>
      <c r="Y206" s="9">
        <f t="shared" si="4"/>
        <v>0</v>
      </c>
      <c r="Z206" s="9">
        <v>0.9151397857284129</v>
      </c>
      <c r="AA206" s="3" t="str">
        <f t="shared" si="5"/>
        <v>OK</v>
      </c>
    </row>
    <row r="207" ht="15.75" customHeight="1">
      <c r="A207" s="3">
        <v>206.0</v>
      </c>
      <c r="B207" s="3" t="s">
        <v>20</v>
      </c>
      <c r="C207" s="7">
        <v>35.682022</v>
      </c>
      <c r="D207" s="7">
        <v>139.631278</v>
      </c>
      <c r="E207" s="3">
        <v>1.0</v>
      </c>
      <c r="F207" s="3" t="s">
        <v>55</v>
      </c>
      <c r="G207" s="5">
        <f>(C207-'Pesos GPS'!$L$4)/'Pesos GPS'!$L$5</f>
        <v>-0.997912681</v>
      </c>
      <c r="H207" s="5">
        <f>(D207-'Pesos GPS'!$L$6)/'Pesos GPS'!$L$7</f>
        <v>0.9998378095</v>
      </c>
      <c r="I207" s="5">
        <f>MAX(0,G207*'Pesos GPS'!B$6+H207*'Pesos GPS'!B$7+'Pesos GPS'!B$8)</f>
        <v>0</v>
      </c>
      <c r="J207" s="5">
        <f>MAX(0,G207*'Pesos GPS'!C$6+H207*'Pesos GPS'!C$7+'Pesos GPS'!C$8)</f>
        <v>0</v>
      </c>
      <c r="K207" s="5">
        <f>MAX(0,G207*'Pesos GPS'!D$6+H207*'Pesos GPS'!D$7+'Pesos GPS'!D$8)</f>
        <v>0</v>
      </c>
      <c r="L207" s="5">
        <f>MAX(0,G207*'Pesos GPS'!E$6+H207*'Pesos GPS'!E$7+'Pesos GPS'!E$8)</f>
        <v>0</v>
      </c>
      <c r="M207" s="5">
        <f>MAX(0,I207*'Pesos GPS'!B$13+J207*'Pesos GPS'!B$14+K207*'Pesos GPS'!B$15+L207*'Pesos GPS'!B$16+'Pesos GPS'!B$17)</f>
        <v>0</v>
      </c>
      <c r="N207" s="5">
        <f>MAX(0,I207*'Pesos GPS'!C$13+J207*'Pesos GPS'!C$14+K207*'Pesos GPS'!C$15+L207*'Pesos GPS'!C$16+'Pesos GPS'!C$17)</f>
        <v>0</v>
      </c>
      <c r="O207" s="5">
        <f>MAX(0,I207*'Pesos GPS'!D$13+J207*'Pesos GPS'!D$14+K207*'Pesos GPS'!D$15+L207*'Pesos GPS'!D$16+'Pesos GPS'!D$17)</f>
        <v>0</v>
      </c>
      <c r="P207" s="5">
        <f>MAX(0,I207*'Pesos GPS'!E$13+J207*'Pesos GPS'!E$14+K207*'Pesos GPS'!E$15+L207*'Pesos GPS'!E$16+'Pesos GPS'!E$17)</f>
        <v>0</v>
      </c>
      <c r="Q207" s="5">
        <f>MAX(0,I207*'Pesos GPS'!F$13+J207*'Pesos GPS'!F$14+K207*'Pesos GPS'!F$15+L207*'Pesos GPS'!F$16+'Pesos GPS'!F$17)</f>
        <v>0</v>
      </c>
      <c r="R207" s="5">
        <f>MAX(0,I207*'Pesos GPS'!G$13+J207*'Pesos GPS'!G$14+K207*'Pesos GPS'!G$15+L207*'Pesos GPS'!G$16+'Pesos GPS'!G$17)</f>
        <v>0</v>
      </c>
      <c r="S207" s="5">
        <f>MAX(0,I207*'Pesos GPS'!H$13+J207*'Pesos GPS'!H$14+K207*'Pesos GPS'!H$15+L207*'Pesos GPS'!H$16+'Pesos GPS'!H$17)</f>
        <v>0</v>
      </c>
      <c r="T207" s="5">
        <f>MAX(0,I207*'Pesos GPS'!I$13+J207*'Pesos GPS'!I$14+K207*'Pesos GPS'!I$15+L207*'Pesos GPS'!I$16+'Pesos GPS'!I$17)</f>
        <v>0</v>
      </c>
      <c r="U207" s="5">
        <f>M207*'Pesos GPS'!$B$22+N207*'Pesos GPS'!$B$23+O207*'Pesos GPS'!$B$24+P207*'Pesos GPS'!$B$25+Q207*'Pesos GPS'!$B$26+R207*'Pesos GPS'!$B$27+S207*'Pesos GPS'!$B$28+T207*'Pesos GPS'!$B$29+'Pesos GPS'!$B$30</f>
        <v>2.37807146</v>
      </c>
      <c r="V207" s="5">
        <f t="shared" si="1"/>
        <v>0.9151397857</v>
      </c>
      <c r="W207" s="3">
        <f t="shared" si="2"/>
        <v>1</v>
      </c>
      <c r="X207" s="3">
        <f t="shared" si="3"/>
        <v>1</v>
      </c>
      <c r="Y207" s="9">
        <f t="shared" si="4"/>
        <v>0</v>
      </c>
      <c r="Z207" s="9">
        <v>0.9151397857284129</v>
      </c>
      <c r="AA207" s="3" t="str">
        <f t="shared" si="5"/>
        <v>OK</v>
      </c>
    </row>
    <row r="208" ht="15.75" customHeight="1">
      <c r="A208" s="3">
        <v>207.0</v>
      </c>
      <c r="B208" s="3" t="s">
        <v>20</v>
      </c>
      <c r="C208" s="7">
        <v>35.68206</v>
      </c>
      <c r="D208" s="7">
        <v>139.735015</v>
      </c>
      <c r="E208" s="3">
        <v>1.0</v>
      </c>
      <c r="F208" s="3" t="s">
        <v>55</v>
      </c>
      <c r="G208" s="5">
        <f>(C208-'Pesos GPS'!$L$4)/'Pesos GPS'!$L$5</f>
        <v>-0.9978975873</v>
      </c>
      <c r="H208" s="5">
        <f>(D208-'Pesos GPS'!$L$6)/'Pesos GPS'!$L$7</f>
        <v>1.000808878</v>
      </c>
      <c r="I208" s="5">
        <f>MAX(0,G208*'Pesos GPS'!B$6+H208*'Pesos GPS'!B$7+'Pesos GPS'!B$8)</f>
        <v>0</v>
      </c>
      <c r="J208" s="5">
        <f>MAX(0,G208*'Pesos GPS'!C$6+H208*'Pesos GPS'!C$7+'Pesos GPS'!C$8)</f>
        <v>0</v>
      </c>
      <c r="K208" s="5">
        <f>MAX(0,G208*'Pesos GPS'!D$6+H208*'Pesos GPS'!D$7+'Pesos GPS'!D$8)</f>
        <v>0</v>
      </c>
      <c r="L208" s="5">
        <f>MAX(0,G208*'Pesos GPS'!E$6+H208*'Pesos GPS'!E$7+'Pesos GPS'!E$8)</f>
        <v>0</v>
      </c>
      <c r="M208" s="5">
        <f>MAX(0,I208*'Pesos GPS'!B$13+J208*'Pesos GPS'!B$14+K208*'Pesos GPS'!B$15+L208*'Pesos GPS'!B$16+'Pesos GPS'!B$17)</f>
        <v>0</v>
      </c>
      <c r="N208" s="5">
        <f>MAX(0,I208*'Pesos GPS'!C$13+J208*'Pesos GPS'!C$14+K208*'Pesos GPS'!C$15+L208*'Pesos GPS'!C$16+'Pesos GPS'!C$17)</f>
        <v>0</v>
      </c>
      <c r="O208" s="5">
        <f>MAX(0,I208*'Pesos GPS'!D$13+J208*'Pesos GPS'!D$14+K208*'Pesos GPS'!D$15+L208*'Pesos GPS'!D$16+'Pesos GPS'!D$17)</f>
        <v>0</v>
      </c>
      <c r="P208" s="5">
        <f>MAX(0,I208*'Pesos GPS'!E$13+J208*'Pesos GPS'!E$14+K208*'Pesos GPS'!E$15+L208*'Pesos GPS'!E$16+'Pesos GPS'!E$17)</f>
        <v>0</v>
      </c>
      <c r="Q208" s="5">
        <f>MAX(0,I208*'Pesos GPS'!F$13+J208*'Pesos GPS'!F$14+K208*'Pesos GPS'!F$15+L208*'Pesos GPS'!F$16+'Pesos GPS'!F$17)</f>
        <v>0</v>
      </c>
      <c r="R208" s="5">
        <f>MAX(0,I208*'Pesos GPS'!G$13+J208*'Pesos GPS'!G$14+K208*'Pesos GPS'!G$15+L208*'Pesos GPS'!G$16+'Pesos GPS'!G$17)</f>
        <v>0</v>
      </c>
      <c r="S208" s="5">
        <f>MAX(0,I208*'Pesos GPS'!H$13+J208*'Pesos GPS'!H$14+K208*'Pesos GPS'!H$15+L208*'Pesos GPS'!H$16+'Pesos GPS'!H$17)</f>
        <v>0</v>
      </c>
      <c r="T208" s="5">
        <f>MAX(0,I208*'Pesos GPS'!I$13+J208*'Pesos GPS'!I$14+K208*'Pesos GPS'!I$15+L208*'Pesos GPS'!I$16+'Pesos GPS'!I$17)</f>
        <v>0</v>
      </c>
      <c r="U208" s="5">
        <f>M208*'Pesos GPS'!$B$22+N208*'Pesos GPS'!$B$23+O208*'Pesos GPS'!$B$24+P208*'Pesos GPS'!$B$25+Q208*'Pesos GPS'!$B$26+R208*'Pesos GPS'!$B$27+S208*'Pesos GPS'!$B$28+T208*'Pesos GPS'!$B$29+'Pesos GPS'!$B$30</f>
        <v>2.37807146</v>
      </c>
      <c r="V208" s="5">
        <f t="shared" si="1"/>
        <v>0.9151397857</v>
      </c>
      <c r="W208" s="3">
        <f t="shared" si="2"/>
        <v>1</v>
      </c>
      <c r="X208" s="3">
        <f t="shared" si="3"/>
        <v>1</v>
      </c>
      <c r="Y208" s="9">
        <f t="shared" si="4"/>
        <v>0</v>
      </c>
      <c r="Z208" s="9">
        <v>0.9151397857284129</v>
      </c>
      <c r="AA208" s="3" t="str">
        <f t="shared" si="5"/>
        <v>OK</v>
      </c>
    </row>
    <row r="209" ht="15.75" customHeight="1">
      <c r="A209" s="3">
        <v>208.0</v>
      </c>
      <c r="B209" s="3" t="s">
        <v>20</v>
      </c>
      <c r="C209" s="7">
        <v>35.682959</v>
      </c>
      <c r="D209" s="7">
        <v>139.665521</v>
      </c>
      <c r="E209" s="3">
        <v>1.0</v>
      </c>
      <c r="F209" s="3" t="s">
        <v>55</v>
      </c>
      <c r="G209" s="5">
        <f>(C209-'Pesos GPS'!$L$4)/'Pesos GPS'!$L$5</f>
        <v>-0.9975405017</v>
      </c>
      <c r="H209" s="5">
        <f>(D209-'Pesos GPS'!$L$6)/'Pesos GPS'!$L$7</f>
        <v>1.000158354</v>
      </c>
      <c r="I209" s="5">
        <f>MAX(0,G209*'Pesos GPS'!B$6+H209*'Pesos GPS'!B$7+'Pesos GPS'!B$8)</f>
        <v>0</v>
      </c>
      <c r="J209" s="5">
        <f>MAX(0,G209*'Pesos GPS'!C$6+H209*'Pesos GPS'!C$7+'Pesos GPS'!C$8)</f>
        <v>0</v>
      </c>
      <c r="K209" s="5">
        <f>MAX(0,G209*'Pesos GPS'!D$6+H209*'Pesos GPS'!D$7+'Pesos GPS'!D$8)</f>
        <v>0</v>
      </c>
      <c r="L209" s="5">
        <f>MAX(0,G209*'Pesos GPS'!E$6+H209*'Pesos GPS'!E$7+'Pesos GPS'!E$8)</f>
        <v>0</v>
      </c>
      <c r="M209" s="5">
        <f>MAX(0,I209*'Pesos GPS'!B$13+J209*'Pesos GPS'!B$14+K209*'Pesos GPS'!B$15+L209*'Pesos GPS'!B$16+'Pesos GPS'!B$17)</f>
        <v>0</v>
      </c>
      <c r="N209" s="5">
        <f>MAX(0,I209*'Pesos GPS'!C$13+J209*'Pesos GPS'!C$14+K209*'Pesos GPS'!C$15+L209*'Pesos GPS'!C$16+'Pesos GPS'!C$17)</f>
        <v>0</v>
      </c>
      <c r="O209" s="5">
        <f>MAX(0,I209*'Pesos GPS'!D$13+J209*'Pesos GPS'!D$14+K209*'Pesos GPS'!D$15+L209*'Pesos GPS'!D$16+'Pesos GPS'!D$17)</f>
        <v>0</v>
      </c>
      <c r="P209" s="5">
        <f>MAX(0,I209*'Pesos GPS'!E$13+J209*'Pesos GPS'!E$14+K209*'Pesos GPS'!E$15+L209*'Pesos GPS'!E$16+'Pesos GPS'!E$17)</f>
        <v>0</v>
      </c>
      <c r="Q209" s="5">
        <f>MAX(0,I209*'Pesos GPS'!F$13+J209*'Pesos GPS'!F$14+K209*'Pesos GPS'!F$15+L209*'Pesos GPS'!F$16+'Pesos GPS'!F$17)</f>
        <v>0</v>
      </c>
      <c r="R209" s="5">
        <f>MAX(0,I209*'Pesos GPS'!G$13+J209*'Pesos GPS'!G$14+K209*'Pesos GPS'!G$15+L209*'Pesos GPS'!G$16+'Pesos GPS'!G$17)</f>
        <v>0</v>
      </c>
      <c r="S209" s="5">
        <f>MAX(0,I209*'Pesos GPS'!H$13+J209*'Pesos GPS'!H$14+K209*'Pesos GPS'!H$15+L209*'Pesos GPS'!H$16+'Pesos GPS'!H$17)</f>
        <v>0</v>
      </c>
      <c r="T209" s="5">
        <f>MAX(0,I209*'Pesos GPS'!I$13+J209*'Pesos GPS'!I$14+K209*'Pesos GPS'!I$15+L209*'Pesos GPS'!I$16+'Pesos GPS'!I$17)</f>
        <v>0</v>
      </c>
      <c r="U209" s="5">
        <f>M209*'Pesos GPS'!$B$22+N209*'Pesos GPS'!$B$23+O209*'Pesos GPS'!$B$24+P209*'Pesos GPS'!$B$25+Q209*'Pesos GPS'!$B$26+R209*'Pesos GPS'!$B$27+S209*'Pesos GPS'!$B$28+T209*'Pesos GPS'!$B$29+'Pesos GPS'!$B$30</f>
        <v>2.37807146</v>
      </c>
      <c r="V209" s="5">
        <f t="shared" si="1"/>
        <v>0.9151397857</v>
      </c>
      <c r="W209" s="3">
        <f t="shared" si="2"/>
        <v>1</v>
      </c>
      <c r="X209" s="3">
        <f t="shared" si="3"/>
        <v>1</v>
      </c>
      <c r="Y209" s="9">
        <f t="shared" si="4"/>
        <v>0</v>
      </c>
      <c r="Z209" s="9">
        <v>0.9151397857284129</v>
      </c>
      <c r="AA209" s="3" t="str">
        <f t="shared" si="5"/>
        <v>OK</v>
      </c>
    </row>
    <row r="210" ht="15.75" customHeight="1">
      <c r="A210" s="3">
        <v>209.0</v>
      </c>
      <c r="B210" s="3" t="s">
        <v>20</v>
      </c>
      <c r="C210" s="7">
        <v>35.654616</v>
      </c>
      <c r="D210" s="7">
        <v>139.630715</v>
      </c>
      <c r="E210" s="3">
        <v>1.0</v>
      </c>
      <c r="F210" s="3" t="s">
        <v>55</v>
      </c>
      <c r="G210" s="5">
        <f>(C210-'Pesos GPS'!$L$4)/'Pesos GPS'!$L$5</f>
        <v>-1.00879843</v>
      </c>
      <c r="H210" s="5">
        <f>(D210-'Pesos GPS'!$L$6)/'Pesos GPS'!$L$7</f>
        <v>0.9998325394</v>
      </c>
      <c r="I210" s="5">
        <f>MAX(0,G210*'Pesos GPS'!B$6+H210*'Pesos GPS'!B$7+'Pesos GPS'!B$8)</f>
        <v>0</v>
      </c>
      <c r="J210" s="5">
        <f>MAX(0,G210*'Pesos GPS'!C$6+H210*'Pesos GPS'!C$7+'Pesos GPS'!C$8)</f>
        <v>0</v>
      </c>
      <c r="K210" s="5">
        <f>MAX(0,G210*'Pesos GPS'!D$6+H210*'Pesos GPS'!D$7+'Pesos GPS'!D$8)</f>
        <v>0</v>
      </c>
      <c r="L210" s="5">
        <f>MAX(0,G210*'Pesos GPS'!E$6+H210*'Pesos GPS'!E$7+'Pesos GPS'!E$8)</f>
        <v>0</v>
      </c>
      <c r="M210" s="5">
        <f>MAX(0,I210*'Pesos GPS'!B$13+J210*'Pesos GPS'!B$14+K210*'Pesos GPS'!B$15+L210*'Pesos GPS'!B$16+'Pesos GPS'!B$17)</f>
        <v>0</v>
      </c>
      <c r="N210" s="5">
        <f>MAX(0,I210*'Pesos GPS'!C$13+J210*'Pesos GPS'!C$14+K210*'Pesos GPS'!C$15+L210*'Pesos GPS'!C$16+'Pesos GPS'!C$17)</f>
        <v>0</v>
      </c>
      <c r="O210" s="5">
        <f>MAX(0,I210*'Pesos GPS'!D$13+J210*'Pesos GPS'!D$14+K210*'Pesos GPS'!D$15+L210*'Pesos GPS'!D$16+'Pesos GPS'!D$17)</f>
        <v>0</v>
      </c>
      <c r="P210" s="5">
        <f>MAX(0,I210*'Pesos GPS'!E$13+J210*'Pesos GPS'!E$14+K210*'Pesos GPS'!E$15+L210*'Pesos GPS'!E$16+'Pesos GPS'!E$17)</f>
        <v>0</v>
      </c>
      <c r="Q210" s="5">
        <f>MAX(0,I210*'Pesos GPS'!F$13+J210*'Pesos GPS'!F$14+K210*'Pesos GPS'!F$15+L210*'Pesos GPS'!F$16+'Pesos GPS'!F$17)</f>
        <v>0</v>
      </c>
      <c r="R210" s="5">
        <f>MAX(0,I210*'Pesos GPS'!G$13+J210*'Pesos GPS'!G$14+K210*'Pesos GPS'!G$15+L210*'Pesos GPS'!G$16+'Pesos GPS'!G$17)</f>
        <v>0</v>
      </c>
      <c r="S210" s="5">
        <f>MAX(0,I210*'Pesos GPS'!H$13+J210*'Pesos GPS'!H$14+K210*'Pesos GPS'!H$15+L210*'Pesos GPS'!H$16+'Pesos GPS'!H$17)</f>
        <v>0</v>
      </c>
      <c r="T210" s="5">
        <f>MAX(0,I210*'Pesos GPS'!I$13+J210*'Pesos GPS'!I$14+K210*'Pesos GPS'!I$15+L210*'Pesos GPS'!I$16+'Pesos GPS'!I$17)</f>
        <v>0</v>
      </c>
      <c r="U210" s="5">
        <f>M210*'Pesos GPS'!$B$22+N210*'Pesos GPS'!$B$23+O210*'Pesos GPS'!$B$24+P210*'Pesos GPS'!$B$25+Q210*'Pesos GPS'!$B$26+R210*'Pesos GPS'!$B$27+S210*'Pesos GPS'!$B$28+T210*'Pesos GPS'!$B$29+'Pesos GPS'!$B$30</f>
        <v>2.37807146</v>
      </c>
      <c r="V210" s="5">
        <f t="shared" si="1"/>
        <v>0.9151397857</v>
      </c>
      <c r="W210" s="3">
        <f t="shared" si="2"/>
        <v>1</v>
      </c>
      <c r="X210" s="3">
        <f t="shared" si="3"/>
        <v>1</v>
      </c>
      <c r="Y210" s="9">
        <f t="shared" si="4"/>
        <v>0</v>
      </c>
      <c r="Z210" s="9">
        <v>0.9151397857284129</v>
      </c>
      <c r="AA210" s="3" t="str">
        <f t="shared" si="5"/>
        <v>OK</v>
      </c>
    </row>
    <row r="211" ht="15.75" customHeight="1">
      <c r="A211" s="3">
        <v>210.0</v>
      </c>
      <c r="B211" s="3" t="s">
        <v>20</v>
      </c>
      <c r="C211" s="7">
        <v>35.672512</v>
      </c>
      <c r="D211" s="7">
        <v>139.666578</v>
      </c>
      <c r="E211" s="3">
        <v>1.0</v>
      </c>
      <c r="F211" s="3" t="s">
        <v>55</v>
      </c>
      <c r="G211" s="5">
        <f>(C211-'Pesos GPS'!$L$4)/'Pesos GPS'!$L$5</f>
        <v>-1.001690083</v>
      </c>
      <c r="H211" s="5">
        <f>(D211-'Pesos GPS'!$L$6)/'Pesos GPS'!$L$7</f>
        <v>1.000168248</v>
      </c>
      <c r="I211" s="5">
        <f>MAX(0,G211*'Pesos GPS'!B$6+H211*'Pesos GPS'!B$7+'Pesos GPS'!B$8)</f>
        <v>0</v>
      </c>
      <c r="J211" s="5">
        <f>MAX(0,G211*'Pesos GPS'!C$6+H211*'Pesos GPS'!C$7+'Pesos GPS'!C$8)</f>
        <v>0</v>
      </c>
      <c r="K211" s="5">
        <f>MAX(0,G211*'Pesos GPS'!D$6+H211*'Pesos GPS'!D$7+'Pesos GPS'!D$8)</f>
        <v>0</v>
      </c>
      <c r="L211" s="5">
        <f>MAX(0,G211*'Pesos GPS'!E$6+H211*'Pesos GPS'!E$7+'Pesos GPS'!E$8)</f>
        <v>0</v>
      </c>
      <c r="M211" s="5">
        <f>MAX(0,I211*'Pesos GPS'!B$13+J211*'Pesos GPS'!B$14+K211*'Pesos GPS'!B$15+L211*'Pesos GPS'!B$16+'Pesos GPS'!B$17)</f>
        <v>0</v>
      </c>
      <c r="N211" s="5">
        <f>MAX(0,I211*'Pesos GPS'!C$13+J211*'Pesos GPS'!C$14+K211*'Pesos GPS'!C$15+L211*'Pesos GPS'!C$16+'Pesos GPS'!C$17)</f>
        <v>0</v>
      </c>
      <c r="O211" s="5">
        <f>MAX(0,I211*'Pesos GPS'!D$13+J211*'Pesos GPS'!D$14+K211*'Pesos GPS'!D$15+L211*'Pesos GPS'!D$16+'Pesos GPS'!D$17)</f>
        <v>0</v>
      </c>
      <c r="P211" s="5">
        <f>MAX(0,I211*'Pesos GPS'!E$13+J211*'Pesos GPS'!E$14+K211*'Pesos GPS'!E$15+L211*'Pesos GPS'!E$16+'Pesos GPS'!E$17)</f>
        <v>0</v>
      </c>
      <c r="Q211" s="5">
        <f>MAX(0,I211*'Pesos GPS'!F$13+J211*'Pesos GPS'!F$14+K211*'Pesos GPS'!F$15+L211*'Pesos GPS'!F$16+'Pesos GPS'!F$17)</f>
        <v>0</v>
      </c>
      <c r="R211" s="5">
        <f>MAX(0,I211*'Pesos GPS'!G$13+J211*'Pesos GPS'!G$14+K211*'Pesos GPS'!G$15+L211*'Pesos GPS'!G$16+'Pesos GPS'!G$17)</f>
        <v>0</v>
      </c>
      <c r="S211" s="5">
        <f>MAX(0,I211*'Pesos GPS'!H$13+J211*'Pesos GPS'!H$14+K211*'Pesos GPS'!H$15+L211*'Pesos GPS'!H$16+'Pesos GPS'!H$17)</f>
        <v>0</v>
      </c>
      <c r="T211" s="5">
        <f>MAX(0,I211*'Pesos GPS'!I$13+J211*'Pesos GPS'!I$14+K211*'Pesos GPS'!I$15+L211*'Pesos GPS'!I$16+'Pesos GPS'!I$17)</f>
        <v>0</v>
      </c>
      <c r="U211" s="5">
        <f>M211*'Pesos GPS'!$B$22+N211*'Pesos GPS'!$B$23+O211*'Pesos GPS'!$B$24+P211*'Pesos GPS'!$B$25+Q211*'Pesos GPS'!$B$26+R211*'Pesos GPS'!$B$27+S211*'Pesos GPS'!$B$28+T211*'Pesos GPS'!$B$29+'Pesos GPS'!$B$30</f>
        <v>2.37807146</v>
      </c>
      <c r="V211" s="5">
        <f t="shared" si="1"/>
        <v>0.9151397857</v>
      </c>
      <c r="W211" s="3">
        <f t="shared" si="2"/>
        <v>1</v>
      </c>
      <c r="X211" s="3">
        <f t="shared" si="3"/>
        <v>1</v>
      </c>
      <c r="Y211" s="9">
        <f t="shared" si="4"/>
        <v>0</v>
      </c>
      <c r="Z211" s="9">
        <v>0.9151397857284129</v>
      </c>
      <c r="AA211" s="3" t="str">
        <f t="shared" si="5"/>
        <v>OK</v>
      </c>
    </row>
    <row r="212" ht="15.75" customHeight="1">
      <c r="A212" s="3">
        <v>211.0</v>
      </c>
      <c r="B212" s="3" t="s">
        <v>20</v>
      </c>
      <c r="C212" s="7">
        <v>35.672387</v>
      </c>
      <c r="D212" s="7">
        <v>139.595666</v>
      </c>
      <c r="E212" s="3">
        <v>1.0</v>
      </c>
      <c r="F212" s="3" t="s">
        <v>55</v>
      </c>
      <c r="G212" s="5">
        <f>(C212-'Pesos GPS'!$L$4)/'Pesos GPS'!$L$5</f>
        <v>-1.001739733</v>
      </c>
      <c r="H212" s="5">
        <f>(D212-'Pesos GPS'!$L$6)/'Pesos GPS'!$L$7</f>
        <v>0.9995044503</v>
      </c>
      <c r="I212" s="5">
        <f>MAX(0,G212*'Pesos GPS'!B$6+H212*'Pesos GPS'!B$7+'Pesos GPS'!B$8)</f>
        <v>0</v>
      </c>
      <c r="J212" s="5">
        <f>MAX(0,G212*'Pesos GPS'!C$6+H212*'Pesos GPS'!C$7+'Pesos GPS'!C$8)</f>
        <v>0</v>
      </c>
      <c r="K212" s="5">
        <f>MAX(0,G212*'Pesos GPS'!D$6+H212*'Pesos GPS'!D$7+'Pesos GPS'!D$8)</f>
        <v>0</v>
      </c>
      <c r="L212" s="5">
        <f>MAX(0,G212*'Pesos GPS'!E$6+H212*'Pesos GPS'!E$7+'Pesos GPS'!E$8)</f>
        <v>0</v>
      </c>
      <c r="M212" s="5">
        <f>MAX(0,I212*'Pesos GPS'!B$13+J212*'Pesos GPS'!B$14+K212*'Pesos GPS'!B$15+L212*'Pesos GPS'!B$16+'Pesos GPS'!B$17)</f>
        <v>0</v>
      </c>
      <c r="N212" s="5">
        <f>MAX(0,I212*'Pesos GPS'!C$13+J212*'Pesos GPS'!C$14+K212*'Pesos GPS'!C$15+L212*'Pesos GPS'!C$16+'Pesos GPS'!C$17)</f>
        <v>0</v>
      </c>
      <c r="O212" s="5">
        <f>MAX(0,I212*'Pesos GPS'!D$13+J212*'Pesos GPS'!D$14+K212*'Pesos GPS'!D$15+L212*'Pesos GPS'!D$16+'Pesos GPS'!D$17)</f>
        <v>0</v>
      </c>
      <c r="P212" s="5">
        <f>MAX(0,I212*'Pesos GPS'!E$13+J212*'Pesos GPS'!E$14+K212*'Pesos GPS'!E$15+L212*'Pesos GPS'!E$16+'Pesos GPS'!E$17)</f>
        <v>0</v>
      </c>
      <c r="Q212" s="5">
        <f>MAX(0,I212*'Pesos GPS'!F$13+J212*'Pesos GPS'!F$14+K212*'Pesos GPS'!F$15+L212*'Pesos GPS'!F$16+'Pesos GPS'!F$17)</f>
        <v>0</v>
      </c>
      <c r="R212" s="5">
        <f>MAX(0,I212*'Pesos GPS'!G$13+J212*'Pesos GPS'!G$14+K212*'Pesos GPS'!G$15+L212*'Pesos GPS'!G$16+'Pesos GPS'!G$17)</f>
        <v>0</v>
      </c>
      <c r="S212" s="5">
        <f>MAX(0,I212*'Pesos GPS'!H$13+J212*'Pesos GPS'!H$14+K212*'Pesos GPS'!H$15+L212*'Pesos GPS'!H$16+'Pesos GPS'!H$17)</f>
        <v>0</v>
      </c>
      <c r="T212" s="5">
        <f>MAX(0,I212*'Pesos GPS'!I$13+J212*'Pesos GPS'!I$14+K212*'Pesos GPS'!I$15+L212*'Pesos GPS'!I$16+'Pesos GPS'!I$17)</f>
        <v>0</v>
      </c>
      <c r="U212" s="5">
        <f>M212*'Pesos GPS'!$B$22+N212*'Pesos GPS'!$B$23+O212*'Pesos GPS'!$B$24+P212*'Pesos GPS'!$B$25+Q212*'Pesos GPS'!$B$26+R212*'Pesos GPS'!$B$27+S212*'Pesos GPS'!$B$28+T212*'Pesos GPS'!$B$29+'Pesos GPS'!$B$30</f>
        <v>2.37807146</v>
      </c>
      <c r="V212" s="5">
        <f t="shared" si="1"/>
        <v>0.9151397857</v>
      </c>
      <c r="W212" s="3">
        <f t="shared" si="2"/>
        <v>1</v>
      </c>
      <c r="X212" s="3">
        <f t="shared" si="3"/>
        <v>1</v>
      </c>
      <c r="Y212" s="9">
        <f t="shared" si="4"/>
        <v>0</v>
      </c>
      <c r="Z212" s="9">
        <v>0.9151397857284129</v>
      </c>
      <c r="AA212" s="3" t="str">
        <f t="shared" si="5"/>
        <v>OK</v>
      </c>
    </row>
    <row r="213" ht="15.75" customHeight="1">
      <c r="A213" s="3">
        <v>212.0</v>
      </c>
      <c r="B213" s="3" t="s">
        <v>20</v>
      </c>
      <c r="C213" s="7">
        <v>35.685785</v>
      </c>
      <c r="D213" s="7">
        <v>139.639894</v>
      </c>
      <c r="E213" s="3">
        <v>1.0</v>
      </c>
      <c r="F213" s="3" t="s">
        <v>55</v>
      </c>
      <c r="G213" s="5">
        <f>(C213-'Pesos GPS'!$L$4)/'Pesos GPS'!$L$5</f>
        <v>-0.9964180057</v>
      </c>
      <c r="H213" s="5">
        <f>(D213-'Pesos GPS'!$L$6)/'Pesos GPS'!$L$7</f>
        <v>0.9999184628</v>
      </c>
      <c r="I213" s="5">
        <f>MAX(0,G213*'Pesos GPS'!B$6+H213*'Pesos GPS'!B$7+'Pesos GPS'!B$8)</f>
        <v>0</v>
      </c>
      <c r="J213" s="5">
        <f>MAX(0,G213*'Pesos GPS'!C$6+H213*'Pesos GPS'!C$7+'Pesos GPS'!C$8)</f>
        <v>0</v>
      </c>
      <c r="K213" s="5">
        <f>MAX(0,G213*'Pesos GPS'!D$6+H213*'Pesos GPS'!D$7+'Pesos GPS'!D$8)</f>
        <v>0</v>
      </c>
      <c r="L213" s="5">
        <f>MAX(0,G213*'Pesos GPS'!E$6+H213*'Pesos GPS'!E$7+'Pesos GPS'!E$8)</f>
        <v>0</v>
      </c>
      <c r="M213" s="5">
        <f>MAX(0,I213*'Pesos GPS'!B$13+J213*'Pesos GPS'!B$14+K213*'Pesos GPS'!B$15+L213*'Pesos GPS'!B$16+'Pesos GPS'!B$17)</f>
        <v>0</v>
      </c>
      <c r="N213" s="5">
        <f>MAX(0,I213*'Pesos GPS'!C$13+J213*'Pesos GPS'!C$14+K213*'Pesos GPS'!C$15+L213*'Pesos GPS'!C$16+'Pesos GPS'!C$17)</f>
        <v>0</v>
      </c>
      <c r="O213" s="5">
        <f>MAX(0,I213*'Pesos GPS'!D$13+J213*'Pesos GPS'!D$14+K213*'Pesos GPS'!D$15+L213*'Pesos GPS'!D$16+'Pesos GPS'!D$17)</f>
        <v>0</v>
      </c>
      <c r="P213" s="5">
        <f>MAX(0,I213*'Pesos GPS'!E$13+J213*'Pesos GPS'!E$14+K213*'Pesos GPS'!E$15+L213*'Pesos GPS'!E$16+'Pesos GPS'!E$17)</f>
        <v>0</v>
      </c>
      <c r="Q213" s="5">
        <f>MAX(0,I213*'Pesos GPS'!F$13+J213*'Pesos GPS'!F$14+K213*'Pesos GPS'!F$15+L213*'Pesos GPS'!F$16+'Pesos GPS'!F$17)</f>
        <v>0</v>
      </c>
      <c r="R213" s="5">
        <f>MAX(0,I213*'Pesos GPS'!G$13+J213*'Pesos GPS'!G$14+K213*'Pesos GPS'!G$15+L213*'Pesos GPS'!G$16+'Pesos GPS'!G$17)</f>
        <v>0</v>
      </c>
      <c r="S213" s="5">
        <f>MAX(0,I213*'Pesos GPS'!H$13+J213*'Pesos GPS'!H$14+K213*'Pesos GPS'!H$15+L213*'Pesos GPS'!H$16+'Pesos GPS'!H$17)</f>
        <v>0</v>
      </c>
      <c r="T213" s="5">
        <f>MAX(0,I213*'Pesos GPS'!I$13+J213*'Pesos GPS'!I$14+K213*'Pesos GPS'!I$15+L213*'Pesos GPS'!I$16+'Pesos GPS'!I$17)</f>
        <v>0</v>
      </c>
      <c r="U213" s="5">
        <f>M213*'Pesos GPS'!$B$22+N213*'Pesos GPS'!$B$23+O213*'Pesos GPS'!$B$24+P213*'Pesos GPS'!$B$25+Q213*'Pesos GPS'!$B$26+R213*'Pesos GPS'!$B$27+S213*'Pesos GPS'!$B$28+T213*'Pesos GPS'!$B$29+'Pesos GPS'!$B$30</f>
        <v>2.37807146</v>
      </c>
      <c r="V213" s="5">
        <f t="shared" si="1"/>
        <v>0.9151397857</v>
      </c>
      <c r="W213" s="3">
        <f t="shared" si="2"/>
        <v>1</v>
      </c>
      <c r="X213" s="3">
        <f t="shared" si="3"/>
        <v>1</v>
      </c>
      <c r="Y213" s="9">
        <f t="shared" si="4"/>
        <v>0</v>
      </c>
      <c r="Z213" s="9">
        <v>0.9151397857284129</v>
      </c>
      <c r="AA213" s="3" t="str">
        <f t="shared" si="5"/>
        <v>OK</v>
      </c>
    </row>
    <row r="214" ht="15.75" customHeight="1">
      <c r="A214" s="3">
        <v>213.0</v>
      </c>
      <c r="B214" s="3" t="s">
        <v>20</v>
      </c>
      <c r="C214" s="7">
        <v>35.701196</v>
      </c>
      <c r="D214" s="7">
        <v>139.653782</v>
      </c>
      <c r="E214" s="3">
        <v>1.0</v>
      </c>
      <c r="F214" s="3" t="s">
        <v>55</v>
      </c>
      <c r="G214" s="5">
        <f>(C214-'Pesos GPS'!$L$4)/'Pesos GPS'!$L$5</f>
        <v>-0.9902967085</v>
      </c>
      <c r="H214" s="5">
        <f>(D214-'Pesos GPS'!$L$6)/'Pesos GPS'!$L$7</f>
        <v>1.000048466</v>
      </c>
      <c r="I214" s="5">
        <f>MAX(0,G214*'Pesos GPS'!B$6+H214*'Pesos GPS'!B$7+'Pesos GPS'!B$8)</f>
        <v>0</v>
      </c>
      <c r="J214" s="5">
        <f>MAX(0,G214*'Pesos GPS'!C$6+H214*'Pesos GPS'!C$7+'Pesos GPS'!C$8)</f>
        <v>0</v>
      </c>
      <c r="K214" s="5">
        <f>MAX(0,G214*'Pesos GPS'!D$6+H214*'Pesos GPS'!D$7+'Pesos GPS'!D$8)</f>
        <v>0</v>
      </c>
      <c r="L214" s="5">
        <f>MAX(0,G214*'Pesos GPS'!E$6+H214*'Pesos GPS'!E$7+'Pesos GPS'!E$8)</f>
        <v>0</v>
      </c>
      <c r="M214" s="5">
        <f>MAX(0,I214*'Pesos GPS'!B$13+J214*'Pesos GPS'!B$14+K214*'Pesos GPS'!B$15+L214*'Pesos GPS'!B$16+'Pesos GPS'!B$17)</f>
        <v>0</v>
      </c>
      <c r="N214" s="5">
        <f>MAX(0,I214*'Pesos GPS'!C$13+J214*'Pesos GPS'!C$14+K214*'Pesos GPS'!C$15+L214*'Pesos GPS'!C$16+'Pesos GPS'!C$17)</f>
        <v>0</v>
      </c>
      <c r="O214" s="5">
        <f>MAX(0,I214*'Pesos GPS'!D$13+J214*'Pesos GPS'!D$14+K214*'Pesos GPS'!D$15+L214*'Pesos GPS'!D$16+'Pesos GPS'!D$17)</f>
        <v>0</v>
      </c>
      <c r="P214" s="5">
        <f>MAX(0,I214*'Pesos GPS'!E$13+J214*'Pesos GPS'!E$14+K214*'Pesos GPS'!E$15+L214*'Pesos GPS'!E$16+'Pesos GPS'!E$17)</f>
        <v>0</v>
      </c>
      <c r="Q214" s="5">
        <f>MAX(0,I214*'Pesos GPS'!F$13+J214*'Pesos GPS'!F$14+K214*'Pesos GPS'!F$15+L214*'Pesos GPS'!F$16+'Pesos GPS'!F$17)</f>
        <v>0</v>
      </c>
      <c r="R214" s="5">
        <f>MAX(0,I214*'Pesos GPS'!G$13+J214*'Pesos GPS'!G$14+K214*'Pesos GPS'!G$15+L214*'Pesos GPS'!G$16+'Pesos GPS'!G$17)</f>
        <v>0</v>
      </c>
      <c r="S214" s="5">
        <f>MAX(0,I214*'Pesos GPS'!H$13+J214*'Pesos GPS'!H$14+K214*'Pesos GPS'!H$15+L214*'Pesos GPS'!H$16+'Pesos GPS'!H$17)</f>
        <v>0</v>
      </c>
      <c r="T214" s="5">
        <f>MAX(0,I214*'Pesos GPS'!I$13+J214*'Pesos GPS'!I$14+K214*'Pesos GPS'!I$15+L214*'Pesos GPS'!I$16+'Pesos GPS'!I$17)</f>
        <v>0</v>
      </c>
      <c r="U214" s="5">
        <f>M214*'Pesos GPS'!$B$22+N214*'Pesos GPS'!$B$23+O214*'Pesos GPS'!$B$24+P214*'Pesos GPS'!$B$25+Q214*'Pesos GPS'!$B$26+R214*'Pesos GPS'!$B$27+S214*'Pesos GPS'!$B$28+T214*'Pesos GPS'!$B$29+'Pesos GPS'!$B$30</f>
        <v>2.37807146</v>
      </c>
      <c r="V214" s="5">
        <f t="shared" si="1"/>
        <v>0.9151397857</v>
      </c>
      <c r="W214" s="3">
        <f t="shared" si="2"/>
        <v>1</v>
      </c>
      <c r="X214" s="3">
        <f t="shared" si="3"/>
        <v>1</v>
      </c>
      <c r="Y214" s="9">
        <f t="shared" si="4"/>
        <v>0</v>
      </c>
      <c r="Z214" s="9">
        <v>0.9151397857284129</v>
      </c>
      <c r="AA214" s="3" t="str">
        <f t="shared" si="5"/>
        <v>OK</v>
      </c>
    </row>
    <row r="215" ht="15.75" customHeight="1">
      <c r="A215" s="3">
        <v>214.0</v>
      </c>
      <c r="B215" s="3" t="s">
        <v>20</v>
      </c>
      <c r="C215" s="7">
        <v>35.649737</v>
      </c>
      <c r="D215" s="7">
        <v>139.647286</v>
      </c>
      <c r="E215" s="3">
        <v>1.0</v>
      </c>
      <c r="F215" s="3" t="s">
        <v>55</v>
      </c>
      <c r="G215" s="5">
        <f>(C215-'Pesos GPS'!$L$4)/'Pesos GPS'!$L$5</f>
        <v>-1.010736384</v>
      </c>
      <c r="H215" s="5">
        <f>(D215-'Pesos GPS'!$L$6)/'Pesos GPS'!$L$7</f>
        <v>0.9999876583</v>
      </c>
      <c r="I215" s="5">
        <f>MAX(0,G215*'Pesos GPS'!B$6+H215*'Pesos GPS'!B$7+'Pesos GPS'!B$8)</f>
        <v>0</v>
      </c>
      <c r="J215" s="5">
        <f>MAX(0,G215*'Pesos GPS'!C$6+H215*'Pesos GPS'!C$7+'Pesos GPS'!C$8)</f>
        <v>0</v>
      </c>
      <c r="K215" s="5">
        <f>MAX(0,G215*'Pesos GPS'!D$6+H215*'Pesos GPS'!D$7+'Pesos GPS'!D$8)</f>
        <v>0</v>
      </c>
      <c r="L215" s="5">
        <f>MAX(0,G215*'Pesos GPS'!E$6+H215*'Pesos GPS'!E$7+'Pesos GPS'!E$8)</f>
        <v>0</v>
      </c>
      <c r="M215" s="5">
        <f>MAX(0,I215*'Pesos GPS'!B$13+J215*'Pesos GPS'!B$14+K215*'Pesos GPS'!B$15+L215*'Pesos GPS'!B$16+'Pesos GPS'!B$17)</f>
        <v>0</v>
      </c>
      <c r="N215" s="5">
        <f>MAX(0,I215*'Pesos GPS'!C$13+J215*'Pesos GPS'!C$14+K215*'Pesos GPS'!C$15+L215*'Pesos GPS'!C$16+'Pesos GPS'!C$17)</f>
        <v>0</v>
      </c>
      <c r="O215" s="5">
        <f>MAX(0,I215*'Pesos GPS'!D$13+J215*'Pesos GPS'!D$14+K215*'Pesos GPS'!D$15+L215*'Pesos GPS'!D$16+'Pesos GPS'!D$17)</f>
        <v>0</v>
      </c>
      <c r="P215" s="5">
        <f>MAX(0,I215*'Pesos GPS'!E$13+J215*'Pesos GPS'!E$14+K215*'Pesos GPS'!E$15+L215*'Pesos GPS'!E$16+'Pesos GPS'!E$17)</f>
        <v>0</v>
      </c>
      <c r="Q215" s="5">
        <f>MAX(0,I215*'Pesos GPS'!F$13+J215*'Pesos GPS'!F$14+K215*'Pesos GPS'!F$15+L215*'Pesos GPS'!F$16+'Pesos GPS'!F$17)</f>
        <v>0</v>
      </c>
      <c r="R215" s="5">
        <f>MAX(0,I215*'Pesos GPS'!G$13+J215*'Pesos GPS'!G$14+K215*'Pesos GPS'!G$15+L215*'Pesos GPS'!G$16+'Pesos GPS'!G$17)</f>
        <v>0</v>
      </c>
      <c r="S215" s="5">
        <f>MAX(0,I215*'Pesos GPS'!H$13+J215*'Pesos GPS'!H$14+K215*'Pesos GPS'!H$15+L215*'Pesos GPS'!H$16+'Pesos GPS'!H$17)</f>
        <v>0</v>
      </c>
      <c r="T215" s="5">
        <f>MAX(0,I215*'Pesos GPS'!I$13+J215*'Pesos GPS'!I$14+K215*'Pesos GPS'!I$15+L215*'Pesos GPS'!I$16+'Pesos GPS'!I$17)</f>
        <v>0</v>
      </c>
      <c r="U215" s="5">
        <f>M215*'Pesos GPS'!$B$22+N215*'Pesos GPS'!$B$23+O215*'Pesos GPS'!$B$24+P215*'Pesos GPS'!$B$25+Q215*'Pesos GPS'!$B$26+R215*'Pesos GPS'!$B$27+S215*'Pesos GPS'!$B$28+T215*'Pesos GPS'!$B$29+'Pesos GPS'!$B$30</f>
        <v>2.37807146</v>
      </c>
      <c r="V215" s="5">
        <f t="shared" si="1"/>
        <v>0.9151397857</v>
      </c>
      <c r="W215" s="3">
        <f t="shared" si="2"/>
        <v>1</v>
      </c>
      <c r="X215" s="3">
        <f t="shared" si="3"/>
        <v>1</v>
      </c>
      <c r="Y215" s="9">
        <f t="shared" si="4"/>
        <v>0</v>
      </c>
      <c r="Z215" s="9">
        <v>0.9151397857284129</v>
      </c>
      <c r="AA215" s="3" t="str">
        <f t="shared" si="5"/>
        <v>OK</v>
      </c>
    </row>
    <row r="216" ht="15.75" customHeight="1">
      <c r="A216" s="3">
        <v>215.0</v>
      </c>
      <c r="B216" s="3" t="s">
        <v>20</v>
      </c>
      <c r="C216" s="7">
        <v>35.673075</v>
      </c>
      <c r="D216" s="7">
        <v>139.677978</v>
      </c>
      <c r="E216" s="3">
        <v>1.0</v>
      </c>
      <c r="F216" s="3" t="s">
        <v>55</v>
      </c>
      <c r="G216" s="5">
        <f>(C216-'Pesos GPS'!$L$4)/'Pesos GPS'!$L$5</f>
        <v>-1.001466457</v>
      </c>
      <c r="H216" s="5">
        <f>(D216-'Pesos GPS'!$L$6)/'Pesos GPS'!$L$7</f>
        <v>1.000274962</v>
      </c>
      <c r="I216" s="5">
        <f>MAX(0,G216*'Pesos GPS'!B$6+H216*'Pesos GPS'!B$7+'Pesos GPS'!B$8)</f>
        <v>0</v>
      </c>
      <c r="J216" s="5">
        <f>MAX(0,G216*'Pesos GPS'!C$6+H216*'Pesos GPS'!C$7+'Pesos GPS'!C$8)</f>
        <v>0</v>
      </c>
      <c r="K216" s="5">
        <f>MAX(0,G216*'Pesos GPS'!D$6+H216*'Pesos GPS'!D$7+'Pesos GPS'!D$8)</f>
        <v>0</v>
      </c>
      <c r="L216" s="5">
        <f>MAX(0,G216*'Pesos GPS'!E$6+H216*'Pesos GPS'!E$7+'Pesos GPS'!E$8)</f>
        <v>0</v>
      </c>
      <c r="M216" s="5">
        <f>MAX(0,I216*'Pesos GPS'!B$13+J216*'Pesos GPS'!B$14+K216*'Pesos GPS'!B$15+L216*'Pesos GPS'!B$16+'Pesos GPS'!B$17)</f>
        <v>0</v>
      </c>
      <c r="N216" s="5">
        <f>MAX(0,I216*'Pesos GPS'!C$13+J216*'Pesos GPS'!C$14+K216*'Pesos GPS'!C$15+L216*'Pesos GPS'!C$16+'Pesos GPS'!C$17)</f>
        <v>0</v>
      </c>
      <c r="O216" s="5">
        <f>MAX(0,I216*'Pesos GPS'!D$13+J216*'Pesos GPS'!D$14+K216*'Pesos GPS'!D$15+L216*'Pesos GPS'!D$16+'Pesos GPS'!D$17)</f>
        <v>0</v>
      </c>
      <c r="P216" s="5">
        <f>MAX(0,I216*'Pesos GPS'!E$13+J216*'Pesos GPS'!E$14+K216*'Pesos GPS'!E$15+L216*'Pesos GPS'!E$16+'Pesos GPS'!E$17)</f>
        <v>0</v>
      </c>
      <c r="Q216" s="5">
        <f>MAX(0,I216*'Pesos GPS'!F$13+J216*'Pesos GPS'!F$14+K216*'Pesos GPS'!F$15+L216*'Pesos GPS'!F$16+'Pesos GPS'!F$17)</f>
        <v>0</v>
      </c>
      <c r="R216" s="5">
        <f>MAX(0,I216*'Pesos GPS'!G$13+J216*'Pesos GPS'!G$14+K216*'Pesos GPS'!G$15+L216*'Pesos GPS'!G$16+'Pesos GPS'!G$17)</f>
        <v>0</v>
      </c>
      <c r="S216" s="5">
        <f>MAX(0,I216*'Pesos GPS'!H$13+J216*'Pesos GPS'!H$14+K216*'Pesos GPS'!H$15+L216*'Pesos GPS'!H$16+'Pesos GPS'!H$17)</f>
        <v>0</v>
      </c>
      <c r="T216" s="5">
        <f>MAX(0,I216*'Pesos GPS'!I$13+J216*'Pesos GPS'!I$14+K216*'Pesos GPS'!I$15+L216*'Pesos GPS'!I$16+'Pesos GPS'!I$17)</f>
        <v>0</v>
      </c>
      <c r="U216" s="5">
        <f>M216*'Pesos GPS'!$B$22+N216*'Pesos GPS'!$B$23+O216*'Pesos GPS'!$B$24+P216*'Pesos GPS'!$B$25+Q216*'Pesos GPS'!$B$26+R216*'Pesos GPS'!$B$27+S216*'Pesos GPS'!$B$28+T216*'Pesos GPS'!$B$29+'Pesos GPS'!$B$30</f>
        <v>2.37807146</v>
      </c>
      <c r="V216" s="5">
        <f t="shared" si="1"/>
        <v>0.9151397857</v>
      </c>
      <c r="W216" s="3">
        <f t="shared" si="2"/>
        <v>1</v>
      </c>
      <c r="X216" s="3">
        <f t="shared" si="3"/>
        <v>1</v>
      </c>
      <c r="Y216" s="9">
        <f t="shared" si="4"/>
        <v>0</v>
      </c>
      <c r="Z216" s="9">
        <v>0.9151397857284129</v>
      </c>
      <c r="AA216" s="3" t="str">
        <f t="shared" si="5"/>
        <v>OK</v>
      </c>
    </row>
    <row r="217" ht="15.75" customHeight="1">
      <c r="A217" s="3">
        <v>216.0</v>
      </c>
      <c r="B217" s="3" t="s">
        <v>20</v>
      </c>
      <c r="C217" s="7">
        <v>35.713236</v>
      </c>
      <c r="D217" s="7">
        <v>139.662363</v>
      </c>
      <c r="E217" s="3">
        <v>1.0</v>
      </c>
      <c r="F217" s="3" t="s">
        <v>55</v>
      </c>
      <c r="G217" s="5">
        <f>(C217-'Pesos GPS'!$L$4)/'Pesos GPS'!$L$5</f>
        <v>-0.9855143831</v>
      </c>
      <c r="H217" s="5">
        <f>(D217-'Pesos GPS'!$L$6)/'Pesos GPS'!$L$7</f>
        <v>1.000128792</v>
      </c>
      <c r="I217" s="5">
        <f>MAX(0,G217*'Pesos GPS'!B$6+H217*'Pesos GPS'!B$7+'Pesos GPS'!B$8)</f>
        <v>0</v>
      </c>
      <c r="J217" s="5">
        <f>MAX(0,G217*'Pesos GPS'!C$6+H217*'Pesos GPS'!C$7+'Pesos GPS'!C$8)</f>
        <v>0</v>
      </c>
      <c r="K217" s="5">
        <f>MAX(0,G217*'Pesos GPS'!D$6+H217*'Pesos GPS'!D$7+'Pesos GPS'!D$8)</f>
        <v>0</v>
      </c>
      <c r="L217" s="5">
        <f>MAX(0,G217*'Pesos GPS'!E$6+H217*'Pesos GPS'!E$7+'Pesos GPS'!E$8)</f>
        <v>0</v>
      </c>
      <c r="M217" s="5">
        <f>MAX(0,I217*'Pesos GPS'!B$13+J217*'Pesos GPS'!B$14+K217*'Pesos GPS'!B$15+L217*'Pesos GPS'!B$16+'Pesos GPS'!B$17)</f>
        <v>0</v>
      </c>
      <c r="N217" s="5">
        <f>MAX(0,I217*'Pesos GPS'!C$13+J217*'Pesos GPS'!C$14+K217*'Pesos GPS'!C$15+L217*'Pesos GPS'!C$16+'Pesos GPS'!C$17)</f>
        <v>0</v>
      </c>
      <c r="O217" s="5">
        <f>MAX(0,I217*'Pesos GPS'!D$13+J217*'Pesos GPS'!D$14+K217*'Pesos GPS'!D$15+L217*'Pesos GPS'!D$16+'Pesos GPS'!D$17)</f>
        <v>0</v>
      </c>
      <c r="P217" s="5">
        <f>MAX(0,I217*'Pesos GPS'!E$13+J217*'Pesos GPS'!E$14+K217*'Pesos GPS'!E$15+L217*'Pesos GPS'!E$16+'Pesos GPS'!E$17)</f>
        <v>0</v>
      </c>
      <c r="Q217" s="5">
        <f>MAX(0,I217*'Pesos GPS'!F$13+J217*'Pesos GPS'!F$14+K217*'Pesos GPS'!F$15+L217*'Pesos GPS'!F$16+'Pesos GPS'!F$17)</f>
        <v>0</v>
      </c>
      <c r="R217" s="5">
        <f>MAX(0,I217*'Pesos GPS'!G$13+J217*'Pesos GPS'!G$14+K217*'Pesos GPS'!G$15+L217*'Pesos GPS'!G$16+'Pesos GPS'!G$17)</f>
        <v>0</v>
      </c>
      <c r="S217" s="5">
        <f>MAX(0,I217*'Pesos GPS'!H$13+J217*'Pesos GPS'!H$14+K217*'Pesos GPS'!H$15+L217*'Pesos GPS'!H$16+'Pesos GPS'!H$17)</f>
        <v>0</v>
      </c>
      <c r="T217" s="5">
        <f>MAX(0,I217*'Pesos GPS'!I$13+J217*'Pesos GPS'!I$14+K217*'Pesos GPS'!I$15+L217*'Pesos GPS'!I$16+'Pesos GPS'!I$17)</f>
        <v>0</v>
      </c>
      <c r="U217" s="5">
        <f>M217*'Pesos GPS'!$B$22+N217*'Pesos GPS'!$B$23+O217*'Pesos GPS'!$B$24+P217*'Pesos GPS'!$B$25+Q217*'Pesos GPS'!$B$26+R217*'Pesos GPS'!$B$27+S217*'Pesos GPS'!$B$28+T217*'Pesos GPS'!$B$29+'Pesos GPS'!$B$30</f>
        <v>2.37807146</v>
      </c>
      <c r="V217" s="5">
        <f t="shared" si="1"/>
        <v>0.9151397857</v>
      </c>
      <c r="W217" s="3">
        <f t="shared" si="2"/>
        <v>1</v>
      </c>
      <c r="X217" s="3">
        <f t="shared" si="3"/>
        <v>1</v>
      </c>
      <c r="Y217" s="9">
        <f t="shared" si="4"/>
        <v>0</v>
      </c>
      <c r="Z217" s="9">
        <v>0.9151397857284129</v>
      </c>
      <c r="AA217" s="3" t="str">
        <f t="shared" si="5"/>
        <v>OK</v>
      </c>
    </row>
    <row r="218" ht="15.75" customHeight="1">
      <c r="A218" s="3">
        <v>217.0</v>
      </c>
      <c r="B218" s="3" t="s">
        <v>20</v>
      </c>
      <c r="C218" s="7">
        <v>35.65761</v>
      </c>
      <c r="D218" s="7">
        <v>139.673691</v>
      </c>
      <c r="E218" s="3">
        <v>1.0</v>
      </c>
      <c r="F218" s="3" t="s">
        <v>55</v>
      </c>
      <c r="G218" s="5">
        <f>(C218-'Pesos GPS'!$L$4)/'Pesos GPS'!$L$5</f>
        <v>-1.007609203</v>
      </c>
      <c r="H218" s="5">
        <f>(D218-'Pesos GPS'!$L$6)/'Pesos GPS'!$L$7</f>
        <v>1.000234832</v>
      </c>
      <c r="I218" s="5">
        <f>MAX(0,G218*'Pesos GPS'!B$6+H218*'Pesos GPS'!B$7+'Pesos GPS'!B$8)</f>
        <v>0</v>
      </c>
      <c r="J218" s="5">
        <f>MAX(0,G218*'Pesos GPS'!C$6+H218*'Pesos GPS'!C$7+'Pesos GPS'!C$8)</f>
        <v>0</v>
      </c>
      <c r="K218" s="5">
        <f>MAX(0,G218*'Pesos GPS'!D$6+H218*'Pesos GPS'!D$7+'Pesos GPS'!D$8)</f>
        <v>0</v>
      </c>
      <c r="L218" s="5">
        <f>MAX(0,G218*'Pesos GPS'!E$6+H218*'Pesos GPS'!E$7+'Pesos GPS'!E$8)</f>
        <v>0</v>
      </c>
      <c r="M218" s="5">
        <f>MAX(0,I218*'Pesos GPS'!B$13+J218*'Pesos GPS'!B$14+K218*'Pesos GPS'!B$15+L218*'Pesos GPS'!B$16+'Pesos GPS'!B$17)</f>
        <v>0</v>
      </c>
      <c r="N218" s="5">
        <f>MAX(0,I218*'Pesos GPS'!C$13+J218*'Pesos GPS'!C$14+K218*'Pesos GPS'!C$15+L218*'Pesos GPS'!C$16+'Pesos GPS'!C$17)</f>
        <v>0</v>
      </c>
      <c r="O218" s="5">
        <f>MAX(0,I218*'Pesos GPS'!D$13+J218*'Pesos GPS'!D$14+K218*'Pesos GPS'!D$15+L218*'Pesos GPS'!D$16+'Pesos GPS'!D$17)</f>
        <v>0</v>
      </c>
      <c r="P218" s="5">
        <f>MAX(0,I218*'Pesos GPS'!E$13+J218*'Pesos GPS'!E$14+K218*'Pesos GPS'!E$15+L218*'Pesos GPS'!E$16+'Pesos GPS'!E$17)</f>
        <v>0</v>
      </c>
      <c r="Q218" s="5">
        <f>MAX(0,I218*'Pesos GPS'!F$13+J218*'Pesos GPS'!F$14+K218*'Pesos GPS'!F$15+L218*'Pesos GPS'!F$16+'Pesos GPS'!F$17)</f>
        <v>0</v>
      </c>
      <c r="R218" s="5">
        <f>MAX(0,I218*'Pesos GPS'!G$13+J218*'Pesos GPS'!G$14+K218*'Pesos GPS'!G$15+L218*'Pesos GPS'!G$16+'Pesos GPS'!G$17)</f>
        <v>0</v>
      </c>
      <c r="S218" s="5">
        <f>MAX(0,I218*'Pesos GPS'!H$13+J218*'Pesos GPS'!H$14+K218*'Pesos GPS'!H$15+L218*'Pesos GPS'!H$16+'Pesos GPS'!H$17)</f>
        <v>0</v>
      </c>
      <c r="T218" s="5">
        <f>MAX(0,I218*'Pesos GPS'!I$13+J218*'Pesos GPS'!I$14+K218*'Pesos GPS'!I$15+L218*'Pesos GPS'!I$16+'Pesos GPS'!I$17)</f>
        <v>0</v>
      </c>
      <c r="U218" s="5">
        <f>M218*'Pesos GPS'!$B$22+N218*'Pesos GPS'!$B$23+O218*'Pesos GPS'!$B$24+P218*'Pesos GPS'!$B$25+Q218*'Pesos GPS'!$B$26+R218*'Pesos GPS'!$B$27+S218*'Pesos GPS'!$B$28+T218*'Pesos GPS'!$B$29+'Pesos GPS'!$B$30</f>
        <v>2.37807146</v>
      </c>
      <c r="V218" s="5">
        <f t="shared" si="1"/>
        <v>0.9151397857</v>
      </c>
      <c r="W218" s="3">
        <f t="shared" si="2"/>
        <v>1</v>
      </c>
      <c r="X218" s="3">
        <f t="shared" si="3"/>
        <v>1</v>
      </c>
      <c r="Y218" s="9">
        <f t="shared" si="4"/>
        <v>0</v>
      </c>
      <c r="Z218" s="9">
        <v>0.9151397857284129</v>
      </c>
      <c r="AA218" s="3" t="str">
        <f t="shared" si="5"/>
        <v>OK</v>
      </c>
    </row>
    <row r="219" ht="15.75" customHeight="1">
      <c r="A219" s="3">
        <v>218.0</v>
      </c>
      <c r="B219" s="3" t="s">
        <v>20</v>
      </c>
      <c r="C219" s="7">
        <v>35.655644</v>
      </c>
      <c r="D219" s="7">
        <v>139.626207</v>
      </c>
      <c r="E219" s="3">
        <v>1.0</v>
      </c>
      <c r="F219" s="3" t="s">
        <v>55</v>
      </c>
      <c r="G219" s="5">
        <f>(C219-'Pesos GPS'!$L$4)/'Pesos GPS'!$L$5</f>
        <v>-1.008390105</v>
      </c>
      <c r="H219" s="5">
        <f>(D219-'Pesos GPS'!$L$6)/'Pesos GPS'!$L$7</f>
        <v>0.9997903406</v>
      </c>
      <c r="I219" s="5">
        <f>MAX(0,G219*'Pesos GPS'!B$6+H219*'Pesos GPS'!B$7+'Pesos GPS'!B$8)</f>
        <v>0</v>
      </c>
      <c r="J219" s="5">
        <f>MAX(0,G219*'Pesos GPS'!C$6+H219*'Pesos GPS'!C$7+'Pesos GPS'!C$8)</f>
        <v>0</v>
      </c>
      <c r="K219" s="5">
        <f>MAX(0,G219*'Pesos GPS'!D$6+H219*'Pesos GPS'!D$7+'Pesos GPS'!D$8)</f>
        <v>0</v>
      </c>
      <c r="L219" s="5">
        <f>MAX(0,G219*'Pesos GPS'!E$6+H219*'Pesos GPS'!E$7+'Pesos GPS'!E$8)</f>
        <v>0</v>
      </c>
      <c r="M219" s="5">
        <f>MAX(0,I219*'Pesos GPS'!B$13+J219*'Pesos GPS'!B$14+K219*'Pesos GPS'!B$15+L219*'Pesos GPS'!B$16+'Pesos GPS'!B$17)</f>
        <v>0</v>
      </c>
      <c r="N219" s="5">
        <f>MAX(0,I219*'Pesos GPS'!C$13+J219*'Pesos GPS'!C$14+K219*'Pesos GPS'!C$15+L219*'Pesos GPS'!C$16+'Pesos GPS'!C$17)</f>
        <v>0</v>
      </c>
      <c r="O219" s="5">
        <f>MAX(0,I219*'Pesos GPS'!D$13+J219*'Pesos GPS'!D$14+K219*'Pesos GPS'!D$15+L219*'Pesos GPS'!D$16+'Pesos GPS'!D$17)</f>
        <v>0</v>
      </c>
      <c r="P219" s="5">
        <f>MAX(0,I219*'Pesos GPS'!E$13+J219*'Pesos GPS'!E$14+K219*'Pesos GPS'!E$15+L219*'Pesos GPS'!E$16+'Pesos GPS'!E$17)</f>
        <v>0</v>
      </c>
      <c r="Q219" s="5">
        <f>MAX(0,I219*'Pesos GPS'!F$13+J219*'Pesos GPS'!F$14+K219*'Pesos GPS'!F$15+L219*'Pesos GPS'!F$16+'Pesos GPS'!F$17)</f>
        <v>0</v>
      </c>
      <c r="R219" s="5">
        <f>MAX(0,I219*'Pesos GPS'!G$13+J219*'Pesos GPS'!G$14+K219*'Pesos GPS'!G$15+L219*'Pesos GPS'!G$16+'Pesos GPS'!G$17)</f>
        <v>0</v>
      </c>
      <c r="S219" s="5">
        <f>MAX(0,I219*'Pesos GPS'!H$13+J219*'Pesos GPS'!H$14+K219*'Pesos GPS'!H$15+L219*'Pesos GPS'!H$16+'Pesos GPS'!H$17)</f>
        <v>0</v>
      </c>
      <c r="T219" s="5">
        <f>MAX(0,I219*'Pesos GPS'!I$13+J219*'Pesos GPS'!I$14+K219*'Pesos GPS'!I$15+L219*'Pesos GPS'!I$16+'Pesos GPS'!I$17)</f>
        <v>0</v>
      </c>
      <c r="U219" s="5">
        <f>M219*'Pesos GPS'!$B$22+N219*'Pesos GPS'!$B$23+O219*'Pesos GPS'!$B$24+P219*'Pesos GPS'!$B$25+Q219*'Pesos GPS'!$B$26+R219*'Pesos GPS'!$B$27+S219*'Pesos GPS'!$B$28+T219*'Pesos GPS'!$B$29+'Pesos GPS'!$B$30</f>
        <v>2.37807146</v>
      </c>
      <c r="V219" s="5">
        <f t="shared" si="1"/>
        <v>0.9151397857</v>
      </c>
      <c r="W219" s="3">
        <f t="shared" si="2"/>
        <v>1</v>
      </c>
      <c r="X219" s="3">
        <f t="shared" si="3"/>
        <v>1</v>
      </c>
      <c r="Y219" s="9">
        <f t="shared" si="4"/>
        <v>0</v>
      </c>
      <c r="Z219" s="9">
        <v>0.9151397857284129</v>
      </c>
      <c r="AA219" s="3" t="str">
        <f t="shared" si="5"/>
        <v>OK</v>
      </c>
    </row>
    <row r="220" ht="15.75" customHeight="1">
      <c r="A220" s="3">
        <v>219.0</v>
      </c>
      <c r="B220" s="3" t="s">
        <v>20</v>
      </c>
      <c r="C220" s="7">
        <v>35.681258</v>
      </c>
      <c r="D220" s="7">
        <v>139.681724</v>
      </c>
      <c r="E220" s="3">
        <v>1.0</v>
      </c>
      <c r="F220" s="3" t="s">
        <v>55</v>
      </c>
      <c r="G220" s="5">
        <f>(C220-'Pesos GPS'!$L$4)/'Pesos GPS'!$L$5</f>
        <v>-0.9982161442</v>
      </c>
      <c r="H220" s="5">
        <f>(D220-'Pesos GPS'!$L$6)/'Pesos GPS'!$L$7</f>
        <v>1.000310028</v>
      </c>
      <c r="I220" s="5">
        <f>MAX(0,G220*'Pesos GPS'!B$6+H220*'Pesos GPS'!B$7+'Pesos GPS'!B$8)</f>
        <v>0</v>
      </c>
      <c r="J220" s="5">
        <f>MAX(0,G220*'Pesos GPS'!C$6+H220*'Pesos GPS'!C$7+'Pesos GPS'!C$8)</f>
        <v>0</v>
      </c>
      <c r="K220" s="5">
        <f>MAX(0,G220*'Pesos GPS'!D$6+H220*'Pesos GPS'!D$7+'Pesos GPS'!D$8)</f>
        <v>0</v>
      </c>
      <c r="L220" s="5">
        <f>MAX(0,G220*'Pesos GPS'!E$6+H220*'Pesos GPS'!E$7+'Pesos GPS'!E$8)</f>
        <v>0</v>
      </c>
      <c r="M220" s="5">
        <f>MAX(0,I220*'Pesos GPS'!B$13+J220*'Pesos GPS'!B$14+K220*'Pesos GPS'!B$15+L220*'Pesos GPS'!B$16+'Pesos GPS'!B$17)</f>
        <v>0</v>
      </c>
      <c r="N220" s="5">
        <f>MAX(0,I220*'Pesos GPS'!C$13+J220*'Pesos GPS'!C$14+K220*'Pesos GPS'!C$15+L220*'Pesos GPS'!C$16+'Pesos GPS'!C$17)</f>
        <v>0</v>
      </c>
      <c r="O220" s="5">
        <f>MAX(0,I220*'Pesos GPS'!D$13+J220*'Pesos GPS'!D$14+K220*'Pesos GPS'!D$15+L220*'Pesos GPS'!D$16+'Pesos GPS'!D$17)</f>
        <v>0</v>
      </c>
      <c r="P220" s="5">
        <f>MAX(0,I220*'Pesos GPS'!E$13+J220*'Pesos GPS'!E$14+K220*'Pesos GPS'!E$15+L220*'Pesos GPS'!E$16+'Pesos GPS'!E$17)</f>
        <v>0</v>
      </c>
      <c r="Q220" s="5">
        <f>MAX(0,I220*'Pesos GPS'!F$13+J220*'Pesos GPS'!F$14+K220*'Pesos GPS'!F$15+L220*'Pesos GPS'!F$16+'Pesos GPS'!F$17)</f>
        <v>0</v>
      </c>
      <c r="R220" s="5">
        <f>MAX(0,I220*'Pesos GPS'!G$13+J220*'Pesos GPS'!G$14+K220*'Pesos GPS'!G$15+L220*'Pesos GPS'!G$16+'Pesos GPS'!G$17)</f>
        <v>0</v>
      </c>
      <c r="S220" s="5">
        <f>MAX(0,I220*'Pesos GPS'!H$13+J220*'Pesos GPS'!H$14+K220*'Pesos GPS'!H$15+L220*'Pesos GPS'!H$16+'Pesos GPS'!H$17)</f>
        <v>0</v>
      </c>
      <c r="T220" s="5">
        <f>MAX(0,I220*'Pesos GPS'!I$13+J220*'Pesos GPS'!I$14+K220*'Pesos GPS'!I$15+L220*'Pesos GPS'!I$16+'Pesos GPS'!I$17)</f>
        <v>0</v>
      </c>
      <c r="U220" s="5">
        <f>M220*'Pesos GPS'!$B$22+N220*'Pesos GPS'!$B$23+O220*'Pesos GPS'!$B$24+P220*'Pesos GPS'!$B$25+Q220*'Pesos GPS'!$B$26+R220*'Pesos GPS'!$B$27+S220*'Pesos GPS'!$B$28+T220*'Pesos GPS'!$B$29+'Pesos GPS'!$B$30</f>
        <v>2.37807146</v>
      </c>
      <c r="V220" s="5">
        <f t="shared" si="1"/>
        <v>0.9151397857</v>
      </c>
      <c r="W220" s="3">
        <f t="shared" si="2"/>
        <v>1</v>
      </c>
      <c r="X220" s="3">
        <f t="shared" si="3"/>
        <v>1</v>
      </c>
      <c r="Y220" s="9">
        <f t="shared" si="4"/>
        <v>0</v>
      </c>
      <c r="Z220" s="9">
        <v>0.9151397857284129</v>
      </c>
      <c r="AA220" s="3" t="str">
        <f t="shared" si="5"/>
        <v>OK</v>
      </c>
    </row>
    <row r="221" ht="15.75" customHeight="1">
      <c r="A221" s="3">
        <v>220.0</v>
      </c>
      <c r="B221" s="3" t="s">
        <v>20</v>
      </c>
      <c r="C221" s="7">
        <v>35.69731</v>
      </c>
      <c r="D221" s="7">
        <v>139.707313</v>
      </c>
      <c r="E221" s="3">
        <v>1.0</v>
      </c>
      <c r="F221" s="3" t="s">
        <v>55</v>
      </c>
      <c r="G221" s="5">
        <f>(C221-'Pesos GPS'!$L$4)/'Pesos GPS'!$L$5</f>
        <v>-0.9918402398</v>
      </c>
      <c r="H221" s="5">
        <f>(D221-'Pesos GPS'!$L$6)/'Pesos GPS'!$L$7</f>
        <v>1.000549563</v>
      </c>
      <c r="I221" s="5">
        <f>MAX(0,G221*'Pesos GPS'!B$6+H221*'Pesos GPS'!B$7+'Pesos GPS'!B$8)</f>
        <v>0</v>
      </c>
      <c r="J221" s="5">
        <f>MAX(0,G221*'Pesos GPS'!C$6+H221*'Pesos GPS'!C$7+'Pesos GPS'!C$8)</f>
        <v>0</v>
      </c>
      <c r="K221" s="5">
        <f>MAX(0,G221*'Pesos GPS'!D$6+H221*'Pesos GPS'!D$7+'Pesos GPS'!D$8)</f>
        <v>0</v>
      </c>
      <c r="L221" s="5">
        <f>MAX(0,G221*'Pesos GPS'!E$6+H221*'Pesos GPS'!E$7+'Pesos GPS'!E$8)</f>
        <v>0</v>
      </c>
      <c r="M221" s="5">
        <f>MAX(0,I221*'Pesos GPS'!B$13+J221*'Pesos GPS'!B$14+K221*'Pesos GPS'!B$15+L221*'Pesos GPS'!B$16+'Pesos GPS'!B$17)</f>
        <v>0</v>
      </c>
      <c r="N221" s="5">
        <f>MAX(0,I221*'Pesos GPS'!C$13+J221*'Pesos GPS'!C$14+K221*'Pesos GPS'!C$15+L221*'Pesos GPS'!C$16+'Pesos GPS'!C$17)</f>
        <v>0</v>
      </c>
      <c r="O221" s="5">
        <f>MAX(0,I221*'Pesos GPS'!D$13+J221*'Pesos GPS'!D$14+K221*'Pesos GPS'!D$15+L221*'Pesos GPS'!D$16+'Pesos GPS'!D$17)</f>
        <v>0</v>
      </c>
      <c r="P221" s="5">
        <f>MAX(0,I221*'Pesos GPS'!E$13+J221*'Pesos GPS'!E$14+K221*'Pesos GPS'!E$15+L221*'Pesos GPS'!E$16+'Pesos GPS'!E$17)</f>
        <v>0</v>
      </c>
      <c r="Q221" s="5">
        <f>MAX(0,I221*'Pesos GPS'!F$13+J221*'Pesos GPS'!F$14+K221*'Pesos GPS'!F$15+L221*'Pesos GPS'!F$16+'Pesos GPS'!F$17)</f>
        <v>0</v>
      </c>
      <c r="R221" s="5">
        <f>MAX(0,I221*'Pesos GPS'!G$13+J221*'Pesos GPS'!G$14+K221*'Pesos GPS'!G$15+L221*'Pesos GPS'!G$16+'Pesos GPS'!G$17)</f>
        <v>0</v>
      </c>
      <c r="S221" s="5">
        <f>MAX(0,I221*'Pesos GPS'!H$13+J221*'Pesos GPS'!H$14+K221*'Pesos GPS'!H$15+L221*'Pesos GPS'!H$16+'Pesos GPS'!H$17)</f>
        <v>0</v>
      </c>
      <c r="T221" s="5">
        <f>MAX(0,I221*'Pesos GPS'!I$13+J221*'Pesos GPS'!I$14+K221*'Pesos GPS'!I$15+L221*'Pesos GPS'!I$16+'Pesos GPS'!I$17)</f>
        <v>0</v>
      </c>
      <c r="U221" s="5">
        <f>M221*'Pesos GPS'!$B$22+N221*'Pesos GPS'!$B$23+O221*'Pesos GPS'!$B$24+P221*'Pesos GPS'!$B$25+Q221*'Pesos GPS'!$B$26+R221*'Pesos GPS'!$B$27+S221*'Pesos GPS'!$B$28+T221*'Pesos GPS'!$B$29+'Pesos GPS'!$B$30</f>
        <v>2.37807146</v>
      </c>
      <c r="V221" s="5">
        <f t="shared" si="1"/>
        <v>0.9151397857</v>
      </c>
      <c r="W221" s="3">
        <f t="shared" si="2"/>
        <v>1</v>
      </c>
      <c r="X221" s="3">
        <f t="shared" si="3"/>
        <v>1</v>
      </c>
      <c r="Y221" s="9">
        <f t="shared" si="4"/>
        <v>0</v>
      </c>
      <c r="Z221" s="9">
        <v>0.9151397857284129</v>
      </c>
      <c r="AA221" s="3" t="str">
        <f t="shared" si="5"/>
        <v>OK</v>
      </c>
    </row>
    <row r="222" ht="15.75" customHeight="1">
      <c r="A222" s="3">
        <v>221.0</v>
      </c>
      <c r="B222" s="3" t="s">
        <v>20</v>
      </c>
      <c r="C222" s="7">
        <v>35.676486</v>
      </c>
      <c r="D222" s="7">
        <v>139.616345</v>
      </c>
      <c r="E222" s="3">
        <v>1.0</v>
      </c>
      <c r="F222" s="3" t="s">
        <v>55</v>
      </c>
      <c r="G222" s="5">
        <f>(C222-'Pesos GPS'!$L$4)/'Pesos GPS'!$L$5</f>
        <v>-1.000111597</v>
      </c>
      <c r="H222" s="5">
        <f>(D222-'Pesos GPS'!$L$6)/'Pesos GPS'!$L$7</f>
        <v>0.9996980237</v>
      </c>
      <c r="I222" s="5">
        <f>MAX(0,G222*'Pesos GPS'!B$6+H222*'Pesos GPS'!B$7+'Pesos GPS'!B$8)</f>
        <v>0</v>
      </c>
      <c r="J222" s="5">
        <f>MAX(0,G222*'Pesos GPS'!C$6+H222*'Pesos GPS'!C$7+'Pesos GPS'!C$8)</f>
        <v>0</v>
      </c>
      <c r="K222" s="5">
        <f>MAX(0,G222*'Pesos GPS'!D$6+H222*'Pesos GPS'!D$7+'Pesos GPS'!D$8)</f>
        <v>0</v>
      </c>
      <c r="L222" s="5">
        <f>MAX(0,G222*'Pesos GPS'!E$6+H222*'Pesos GPS'!E$7+'Pesos GPS'!E$8)</f>
        <v>0</v>
      </c>
      <c r="M222" s="5">
        <f>MAX(0,I222*'Pesos GPS'!B$13+J222*'Pesos GPS'!B$14+K222*'Pesos GPS'!B$15+L222*'Pesos GPS'!B$16+'Pesos GPS'!B$17)</f>
        <v>0</v>
      </c>
      <c r="N222" s="5">
        <f>MAX(0,I222*'Pesos GPS'!C$13+J222*'Pesos GPS'!C$14+K222*'Pesos GPS'!C$15+L222*'Pesos GPS'!C$16+'Pesos GPS'!C$17)</f>
        <v>0</v>
      </c>
      <c r="O222" s="5">
        <f>MAX(0,I222*'Pesos GPS'!D$13+J222*'Pesos GPS'!D$14+K222*'Pesos GPS'!D$15+L222*'Pesos GPS'!D$16+'Pesos GPS'!D$17)</f>
        <v>0</v>
      </c>
      <c r="P222" s="5">
        <f>MAX(0,I222*'Pesos GPS'!E$13+J222*'Pesos GPS'!E$14+K222*'Pesos GPS'!E$15+L222*'Pesos GPS'!E$16+'Pesos GPS'!E$17)</f>
        <v>0</v>
      </c>
      <c r="Q222" s="5">
        <f>MAX(0,I222*'Pesos GPS'!F$13+J222*'Pesos GPS'!F$14+K222*'Pesos GPS'!F$15+L222*'Pesos GPS'!F$16+'Pesos GPS'!F$17)</f>
        <v>0</v>
      </c>
      <c r="R222" s="5">
        <f>MAX(0,I222*'Pesos GPS'!G$13+J222*'Pesos GPS'!G$14+K222*'Pesos GPS'!G$15+L222*'Pesos GPS'!G$16+'Pesos GPS'!G$17)</f>
        <v>0</v>
      </c>
      <c r="S222" s="5">
        <f>MAX(0,I222*'Pesos GPS'!H$13+J222*'Pesos GPS'!H$14+K222*'Pesos GPS'!H$15+L222*'Pesos GPS'!H$16+'Pesos GPS'!H$17)</f>
        <v>0</v>
      </c>
      <c r="T222" s="5">
        <f>MAX(0,I222*'Pesos GPS'!I$13+J222*'Pesos GPS'!I$14+K222*'Pesos GPS'!I$15+L222*'Pesos GPS'!I$16+'Pesos GPS'!I$17)</f>
        <v>0</v>
      </c>
      <c r="U222" s="5">
        <f>M222*'Pesos GPS'!$B$22+N222*'Pesos GPS'!$B$23+O222*'Pesos GPS'!$B$24+P222*'Pesos GPS'!$B$25+Q222*'Pesos GPS'!$B$26+R222*'Pesos GPS'!$B$27+S222*'Pesos GPS'!$B$28+T222*'Pesos GPS'!$B$29+'Pesos GPS'!$B$30</f>
        <v>2.37807146</v>
      </c>
      <c r="V222" s="5">
        <f t="shared" si="1"/>
        <v>0.9151397857</v>
      </c>
      <c r="W222" s="3">
        <f t="shared" si="2"/>
        <v>1</v>
      </c>
      <c r="X222" s="3">
        <f t="shared" si="3"/>
        <v>1</v>
      </c>
      <c r="Y222" s="9">
        <f t="shared" si="4"/>
        <v>0</v>
      </c>
      <c r="Z222" s="9">
        <v>0.9151397857284129</v>
      </c>
      <c r="AA222" s="3" t="str">
        <f t="shared" si="5"/>
        <v>OK</v>
      </c>
    </row>
    <row r="223" ht="15.75" customHeight="1">
      <c r="A223" s="3">
        <v>222.0</v>
      </c>
      <c r="B223" s="3" t="s">
        <v>20</v>
      </c>
      <c r="C223" s="7">
        <v>35.709424</v>
      </c>
      <c r="D223" s="7">
        <v>139.619231</v>
      </c>
      <c r="E223" s="3">
        <v>1.0</v>
      </c>
      <c r="F223" s="3" t="s">
        <v>55</v>
      </c>
      <c r="G223" s="5">
        <f>(C223-'Pesos GPS'!$L$4)/'Pesos GPS'!$L$5</f>
        <v>-0.9870285213</v>
      </c>
      <c r="H223" s="5">
        <f>(D223-'Pesos GPS'!$L$6)/'Pesos GPS'!$L$7</f>
        <v>0.9997250391</v>
      </c>
      <c r="I223" s="5">
        <f>MAX(0,G223*'Pesos GPS'!B$6+H223*'Pesos GPS'!B$7+'Pesos GPS'!B$8)</f>
        <v>0</v>
      </c>
      <c r="J223" s="5">
        <f>MAX(0,G223*'Pesos GPS'!C$6+H223*'Pesos GPS'!C$7+'Pesos GPS'!C$8)</f>
        <v>0</v>
      </c>
      <c r="K223" s="5">
        <f>MAX(0,G223*'Pesos GPS'!D$6+H223*'Pesos GPS'!D$7+'Pesos GPS'!D$8)</f>
        <v>0</v>
      </c>
      <c r="L223" s="5">
        <f>MAX(0,G223*'Pesos GPS'!E$6+H223*'Pesos GPS'!E$7+'Pesos GPS'!E$8)</f>
        <v>0</v>
      </c>
      <c r="M223" s="5">
        <f>MAX(0,I223*'Pesos GPS'!B$13+J223*'Pesos GPS'!B$14+K223*'Pesos GPS'!B$15+L223*'Pesos GPS'!B$16+'Pesos GPS'!B$17)</f>
        <v>0</v>
      </c>
      <c r="N223" s="5">
        <f>MAX(0,I223*'Pesos GPS'!C$13+J223*'Pesos GPS'!C$14+K223*'Pesos GPS'!C$15+L223*'Pesos GPS'!C$16+'Pesos GPS'!C$17)</f>
        <v>0</v>
      </c>
      <c r="O223" s="5">
        <f>MAX(0,I223*'Pesos GPS'!D$13+J223*'Pesos GPS'!D$14+K223*'Pesos GPS'!D$15+L223*'Pesos GPS'!D$16+'Pesos GPS'!D$17)</f>
        <v>0</v>
      </c>
      <c r="P223" s="5">
        <f>MAX(0,I223*'Pesos GPS'!E$13+J223*'Pesos GPS'!E$14+K223*'Pesos GPS'!E$15+L223*'Pesos GPS'!E$16+'Pesos GPS'!E$17)</f>
        <v>0</v>
      </c>
      <c r="Q223" s="5">
        <f>MAX(0,I223*'Pesos GPS'!F$13+J223*'Pesos GPS'!F$14+K223*'Pesos GPS'!F$15+L223*'Pesos GPS'!F$16+'Pesos GPS'!F$17)</f>
        <v>0</v>
      </c>
      <c r="R223" s="5">
        <f>MAX(0,I223*'Pesos GPS'!G$13+J223*'Pesos GPS'!G$14+K223*'Pesos GPS'!G$15+L223*'Pesos GPS'!G$16+'Pesos GPS'!G$17)</f>
        <v>0</v>
      </c>
      <c r="S223" s="5">
        <f>MAX(0,I223*'Pesos GPS'!H$13+J223*'Pesos GPS'!H$14+K223*'Pesos GPS'!H$15+L223*'Pesos GPS'!H$16+'Pesos GPS'!H$17)</f>
        <v>0</v>
      </c>
      <c r="T223" s="5">
        <f>MAX(0,I223*'Pesos GPS'!I$13+J223*'Pesos GPS'!I$14+K223*'Pesos GPS'!I$15+L223*'Pesos GPS'!I$16+'Pesos GPS'!I$17)</f>
        <v>0</v>
      </c>
      <c r="U223" s="5">
        <f>M223*'Pesos GPS'!$B$22+N223*'Pesos GPS'!$B$23+O223*'Pesos GPS'!$B$24+P223*'Pesos GPS'!$B$25+Q223*'Pesos GPS'!$B$26+R223*'Pesos GPS'!$B$27+S223*'Pesos GPS'!$B$28+T223*'Pesos GPS'!$B$29+'Pesos GPS'!$B$30</f>
        <v>2.37807146</v>
      </c>
      <c r="V223" s="5">
        <f t="shared" si="1"/>
        <v>0.9151397857</v>
      </c>
      <c r="W223" s="3">
        <f t="shared" si="2"/>
        <v>1</v>
      </c>
      <c r="X223" s="3">
        <f t="shared" si="3"/>
        <v>1</v>
      </c>
      <c r="Y223" s="9">
        <f t="shared" si="4"/>
        <v>0</v>
      </c>
      <c r="Z223" s="9">
        <v>0.9151397857284129</v>
      </c>
      <c r="AA223" s="3" t="str">
        <f t="shared" si="5"/>
        <v>OK</v>
      </c>
    </row>
    <row r="224" ht="15.75" customHeight="1">
      <c r="A224" s="3">
        <v>223.0</v>
      </c>
      <c r="B224" s="3" t="s">
        <v>20</v>
      </c>
      <c r="C224" s="7">
        <v>35.69762</v>
      </c>
      <c r="D224" s="7">
        <v>139.697052</v>
      </c>
      <c r="E224" s="3">
        <v>1.0</v>
      </c>
      <c r="F224" s="3" t="s">
        <v>55</v>
      </c>
      <c r="G224" s="5">
        <f>(C224-'Pesos GPS'!$L$4)/'Pesos GPS'!$L$5</f>
        <v>-0.9917171069</v>
      </c>
      <c r="H224" s="5">
        <f>(D224-'Pesos GPS'!$L$6)/'Pesos GPS'!$L$7</f>
        <v>1.000453511</v>
      </c>
      <c r="I224" s="5">
        <f>MAX(0,G224*'Pesos GPS'!B$6+H224*'Pesos GPS'!B$7+'Pesos GPS'!B$8)</f>
        <v>0</v>
      </c>
      <c r="J224" s="5">
        <f>MAX(0,G224*'Pesos GPS'!C$6+H224*'Pesos GPS'!C$7+'Pesos GPS'!C$8)</f>
        <v>0</v>
      </c>
      <c r="K224" s="5">
        <f>MAX(0,G224*'Pesos GPS'!D$6+H224*'Pesos GPS'!D$7+'Pesos GPS'!D$8)</f>
        <v>0</v>
      </c>
      <c r="L224" s="5">
        <f>MAX(0,G224*'Pesos GPS'!E$6+H224*'Pesos GPS'!E$7+'Pesos GPS'!E$8)</f>
        <v>0</v>
      </c>
      <c r="M224" s="5">
        <f>MAX(0,I224*'Pesos GPS'!B$13+J224*'Pesos GPS'!B$14+K224*'Pesos GPS'!B$15+L224*'Pesos GPS'!B$16+'Pesos GPS'!B$17)</f>
        <v>0</v>
      </c>
      <c r="N224" s="5">
        <f>MAX(0,I224*'Pesos GPS'!C$13+J224*'Pesos GPS'!C$14+K224*'Pesos GPS'!C$15+L224*'Pesos GPS'!C$16+'Pesos GPS'!C$17)</f>
        <v>0</v>
      </c>
      <c r="O224" s="5">
        <f>MAX(0,I224*'Pesos GPS'!D$13+J224*'Pesos GPS'!D$14+K224*'Pesos GPS'!D$15+L224*'Pesos GPS'!D$16+'Pesos GPS'!D$17)</f>
        <v>0</v>
      </c>
      <c r="P224" s="5">
        <f>MAX(0,I224*'Pesos GPS'!E$13+J224*'Pesos GPS'!E$14+K224*'Pesos GPS'!E$15+L224*'Pesos GPS'!E$16+'Pesos GPS'!E$17)</f>
        <v>0</v>
      </c>
      <c r="Q224" s="5">
        <f>MAX(0,I224*'Pesos GPS'!F$13+J224*'Pesos GPS'!F$14+K224*'Pesos GPS'!F$15+L224*'Pesos GPS'!F$16+'Pesos GPS'!F$17)</f>
        <v>0</v>
      </c>
      <c r="R224" s="5">
        <f>MAX(0,I224*'Pesos GPS'!G$13+J224*'Pesos GPS'!G$14+K224*'Pesos GPS'!G$15+L224*'Pesos GPS'!G$16+'Pesos GPS'!G$17)</f>
        <v>0</v>
      </c>
      <c r="S224" s="5">
        <f>MAX(0,I224*'Pesos GPS'!H$13+J224*'Pesos GPS'!H$14+K224*'Pesos GPS'!H$15+L224*'Pesos GPS'!H$16+'Pesos GPS'!H$17)</f>
        <v>0</v>
      </c>
      <c r="T224" s="5">
        <f>MAX(0,I224*'Pesos GPS'!I$13+J224*'Pesos GPS'!I$14+K224*'Pesos GPS'!I$15+L224*'Pesos GPS'!I$16+'Pesos GPS'!I$17)</f>
        <v>0</v>
      </c>
      <c r="U224" s="5">
        <f>M224*'Pesos GPS'!$B$22+N224*'Pesos GPS'!$B$23+O224*'Pesos GPS'!$B$24+P224*'Pesos GPS'!$B$25+Q224*'Pesos GPS'!$B$26+R224*'Pesos GPS'!$B$27+S224*'Pesos GPS'!$B$28+T224*'Pesos GPS'!$B$29+'Pesos GPS'!$B$30</f>
        <v>2.37807146</v>
      </c>
      <c r="V224" s="5">
        <f t="shared" si="1"/>
        <v>0.9151397857</v>
      </c>
      <c r="W224" s="3">
        <f t="shared" si="2"/>
        <v>1</v>
      </c>
      <c r="X224" s="3">
        <f t="shared" si="3"/>
        <v>1</v>
      </c>
      <c r="Y224" s="9">
        <f t="shared" si="4"/>
        <v>0</v>
      </c>
      <c r="Z224" s="9">
        <v>0.9151397857284129</v>
      </c>
      <c r="AA224" s="3" t="str">
        <f t="shared" si="5"/>
        <v>OK</v>
      </c>
    </row>
    <row r="225" ht="15.75" customHeight="1">
      <c r="A225" s="3">
        <v>224.0</v>
      </c>
      <c r="B225" s="3" t="s">
        <v>20</v>
      </c>
      <c r="C225" s="7">
        <v>35.697246</v>
      </c>
      <c r="D225" s="7">
        <v>139.643603</v>
      </c>
      <c r="E225" s="3">
        <v>1.0</v>
      </c>
      <c r="F225" s="3" t="s">
        <v>55</v>
      </c>
      <c r="G225" s="5">
        <f>(C225-'Pesos GPS'!$L$4)/'Pesos GPS'!$L$5</f>
        <v>-0.9918656608</v>
      </c>
      <c r="H225" s="5">
        <f>(D225-'Pesos GPS'!$L$6)/'Pesos GPS'!$L$7</f>
        <v>0.9999531822</v>
      </c>
      <c r="I225" s="5">
        <f>MAX(0,G225*'Pesos GPS'!B$6+H225*'Pesos GPS'!B$7+'Pesos GPS'!B$8)</f>
        <v>0</v>
      </c>
      <c r="J225" s="5">
        <f>MAX(0,G225*'Pesos GPS'!C$6+H225*'Pesos GPS'!C$7+'Pesos GPS'!C$8)</f>
        <v>0</v>
      </c>
      <c r="K225" s="5">
        <f>MAX(0,G225*'Pesos GPS'!D$6+H225*'Pesos GPS'!D$7+'Pesos GPS'!D$8)</f>
        <v>0</v>
      </c>
      <c r="L225" s="5">
        <f>MAX(0,G225*'Pesos GPS'!E$6+H225*'Pesos GPS'!E$7+'Pesos GPS'!E$8)</f>
        <v>0</v>
      </c>
      <c r="M225" s="5">
        <f>MAX(0,I225*'Pesos GPS'!B$13+J225*'Pesos GPS'!B$14+K225*'Pesos GPS'!B$15+L225*'Pesos GPS'!B$16+'Pesos GPS'!B$17)</f>
        <v>0</v>
      </c>
      <c r="N225" s="5">
        <f>MAX(0,I225*'Pesos GPS'!C$13+J225*'Pesos GPS'!C$14+K225*'Pesos GPS'!C$15+L225*'Pesos GPS'!C$16+'Pesos GPS'!C$17)</f>
        <v>0</v>
      </c>
      <c r="O225" s="5">
        <f>MAX(0,I225*'Pesos GPS'!D$13+J225*'Pesos GPS'!D$14+K225*'Pesos GPS'!D$15+L225*'Pesos GPS'!D$16+'Pesos GPS'!D$17)</f>
        <v>0</v>
      </c>
      <c r="P225" s="5">
        <f>MAX(0,I225*'Pesos GPS'!E$13+J225*'Pesos GPS'!E$14+K225*'Pesos GPS'!E$15+L225*'Pesos GPS'!E$16+'Pesos GPS'!E$17)</f>
        <v>0</v>
      </c>
      <c r="Q225" s="5">
        <f>MAX(0,I225*'Pesos GPS'!F$13+J225*'Pesos GPS'!F$14+K225*'Pesos GPS'!F$15+L225*'Pesos GPS'!F$16+'Pesos GPS'!F$17)</f>
        <v>0</v>
      </c>
      <c r="R225" s="5">
        <f>MAX(0,I225*'Pesos GPS'!G$13+J225*'Pesos GPS'!G$14+K225*'Pesos GPS'!G$15+L225*'Pesos GPS'!G$16+'Pesos GPS'!G$17)</f>
        <v>0</v>
      </c>
      <c r="S225" s="5">
        <f>MAX(0,I225*'Pesos GPS'!H$13+J225*'Pesos GPS'!H$14+K225*'Pesos GPS'!H$15+L225*'Pesos GPS'!H$16+'Pesos GPS'!H$17)</f>
        <v>0</v>
      </c>
      <c r="T225" s="5">
        <f>MAX(0,I225*'Pesos GPS'!I$13+J225*'Pesos GPS'!I$14+K225*'Pesos GPS'!I$15+L225*'Pesos GPS'!I$16+'Pesos GPS'!I$17)</f>
        <v>0</v>
      </c>
      <c r="U225" s="5">
        <f>M225*'Pesos GPS'!$B$22+N225*'Pesos GPS'!$B$23+O225*'Pesos GPS'!$B$24+P225*'Pesos GPS'!$B$25+Q225*'Pesos GPS'!$B$26+R225*'Pesos GPS'!$B$27+S225*'Pesos GPS'!$B$28+T225*'Pesos GPS'!$B$29+'Pesos GPS'!$B$30</f>
        <v>2.37807146</v>
      </c>
      <c r="V225" s="5">
        <f t="shared" si="1"/>
        <v>0.9151397857</v>
      </c>
      <c r="W225" s="3">
        <f t="shared" si="2"/>
        <v>1</v>
      </c>
      <c r="X225" s="3">
        <f t="shared" si="3"/>
        <v>1</v>
      </c>
      <c r="Y225" s="9">
        <f t="shared" si="4"/>
        <v>0</v>
      </c>
      <c r="Z225" s="9">
        <v>0.9151397857284129</v>
      </c>
      <c r="AA225" s="3" t="str">
        <f t="shared" si="5"/>
        <v>OK</v>
      </c>
    </row>
    <row r="226" ht="15.75" customHeight="1">
      <c r="A226" s="3">
        <v>225.0</v>
      </c>
      <c r="B226" s="3" t="s">
        <v>20</v>
      </c>
      <c r="C226" s="7">
        <v>35.690053</v>
      </c>
      <c r="D226" s="7">
        <v>139.699434</v>
      </c>
      <c r="E226" s="3">
        <v>1.0</v>
      </c>
      <c r="F226" s="3" t="s">
        <v>55</v>
      </c>
      <c r="G226" s="5">
        <f>(C226-'Pesos GPS'!$L$4)/'Pesos GPS'!$L$5</f>
        <v>-0.9947227428</v>
      </c>
      <c r="H226" s="5">
        <f>(D226-'Pesos GPS'!$L$6)/'Pesos GPS'!$L$7</f>
        <v>1.000475809</v>
      </c>
      <c r="I226" s="5">
        <f>MAX(0,G226*'Pesos GPS'!B$6+H226*'Pesos GPS'!B$7+'Pesos GPS'!B$8)</f>
        <v>0</v>
      </c>
      <c r="J226" s="5">
        <f>MAX(0,G226*'Pesos GPS'!C$6+H226*'Pesos GPS'!C$7+'Pesos GPS'!C$8)</f>
        <v>0</v>
      </c>
      <c r="K226" s="5">
        <f>MAX(0,G226*'Pesos GPS'!D$6+H226*'Pesos GPS'!D$7+'Pesos GPS'!D$8)</f>
        <v>0</v>
      </c>
      <c r="L226" s="5">
        <f>MAX(0,G226*'Pesos GPS'!E$6+H226*'Pesos GPS'!E$7+'Pesos GPS'!E$8)</f>
        <v>0</v>
      </c>
      <c r="M226" s="5">
        <f>MAX(0,I226*'Pesos GPS'!B$13+J226*'Pesos GPS'!B$14+K226*'Pesos GPS'!B$15+L226*'Pesos GPS'!B$16+'Pesos GPS'!B$17)</f>
        <v>0</v>
      </c>
      <c r="N226" s="5">
        <f>MAX(0,I226*'Pesos GPS'!C$13+J226*'Pesos GPS'!C$14+K226*'Pesos GPS'!C$15+L226*'Pesos GPS'!C$16+'Pesos GPS'!C$17)</f>
        <v>0</v>
      </c>
      <c r="O226" s="5">
        <f>MAX(0,I226*'Pesos GPS'!D$13+J226*'Pesos GPS'!D$14+K226*'Pesos GPS'!D$15+L226*'Pesos GPS'!D$16+'Pesos GPS'!D$17)</f>
        <v>0</v>
      </c>
      <c r="P226" s="5">
        <f>MAX(0,I226*'Pesos GPS'!E$13+J226*'Pesos GPS'!E$14+K226*'Pesos GPS'!E$15+L226*'Pesos GPS'!E$16+'Pesos GPS'!E$17)</f>
        <v>0</v>
      </c>
      <c r="Q226" s="5">
        <f>MAX(0,I226*'Pesos GPS'!F$13+J226*'Pesos GPS'!F$14+K226*'Pesos GPS'!F$15+L226*'Pesos GPS'!F$16+'Pesos GPS'!F$17)</f>
        <v>0</v>
      </c>
      <c r="R226" s="5">
        <f>MAX(0,I226*'Pesos GPS'!G$13+J226*'Pesos GPS'!G$14+K226*'Pesos GPS'!G$15+L226*'Pesos GPS'!G$16+'Pesos GPS'!G$17)</f>
        <v>0</v>
      </c>
      <c r="S226" s="5">
        <f>MAX(0,I226*'Pesos GPS'!H$13+J226*'Pesos GPS'!H$14+K226*'Pesos GPS'!H$15+L226*'Pesos GPS'!H$16+'Pesos GPS'!H$17)</f>
        <v>0</v>
      </c>
      <c r="T226" s="5">
        <f>MAX(0,I226*'Pesos GPS'!I$13+J226*'Pesos GPS'!I$14+K226*'Pesos GPS'!I$15+L226*'Pesos GPS'!I$16+'Pesos GPS'!I$17)</f>
        <v>0</v>
      </c>
      <c r="U226" s="5">
        <f>M226*'Pesos GPS'!$B$22+N226*'Pesos GPS'!$B$23+O226*'Pesos GPS'!$B$24+P226*'Pesos GPS'!$B$25+Q226*'Pesos GPS'!$B$26+R226*'Pesos GPS'!$B$27+S226*'Pesos GPS'!$B$28+T226*'Pesos GPS'!$B$29+'Pesos GPS'!$B$30</f>
        <v>2.37807146</v>
      </c>
      <c r="V226" s="5">
        <f t="shared" si="1"/>
        <v>0.9151397857</v>
      </c>
      <c r="W226" s="3">
        <f t="shared" si="2"/>
        <v>1</v>
      </c>
      <c r="X226" s="3">
        <f t="shared" si="3"/>
        <v>1</v>
      </c>
      <c r="Y226" s="9">
        <f t="shared" si="4"/>
        <v>0</v>
      </c>
      <c r="Z226" s="9">
        <v>0.9151397857284129</v>
      </c>
      <c r="AA226" s="3" t="str">
        <f t="shared" si="5"/>
        <v>OK</v>
      </c>
    </row>
    <row r="227" ht="15.75" customHeight="1">
      <c r="A227" s="3">
        <v>226.0</v>
      </c>
      <c r="B227" s="3" t="s">
        <v>20</v>
      </c>
      <c r="C227" s="7">
        <v>35.734391</v>
      </c>
      <c r="D227" s="7">
        <v>139.634811</v>
      </c>
      <c r="E227" s="3">
        <v>1.0</v>
      </c>
      <c r="F227" s="3" t="s">
        <v>55</v>
      </c>
      <c r="G227" s="5">
        <f>(C227-'Pesos GPS'!$L$4)/'Pesos GPS'!$L$5</f>
        <v>-0.9771115512</v>
      </c>
      <c r="H227" s="5">
        <f>(D227-'Pesos GPS'!$L$6)/'Pesos GPS'!$L$7</f>
        <v>0.9998708815</v>
      </c>
      <c r="I227" s="5">
        <f>MAX(0,G227*'Pesos GPS'!B$6+H227*'Pesos GPS'!B$7+'Pesos GPS'!B$8)</f>
        <v>0</v>
      </c>
      <c r="J227" s="5">
        <f>MAX(0,G227*'Pesos GPS'!C$6+H227*'Pesos GPS'!C$7+'Pesos GPS'!C$8)</f>
        <v>0</v>
      </c>
      <c r="K227" s="5">
        <f>MAX(0,G227*'Pesos GPS'!D$6+H227*'Pesos GPS'!D$7+'Pesos GPS'!D$8)</f>
        <v>0</v>
      </c>
      <c r="L227" s="5">
        <f>MAX(0,G227*'Pesos GPS'!E$6+H227*'Pesos GPS'!E$7+'Pesos GPS'!E$8)</f>
        <v>0</v>
      </c>
      <c r="M227" s="5">
        <f>MAX(0,I227*'Pesos GPS'!B$13+J227*'Pesos GPS'!B$14+K227*'Pesos GPS'!B$15+L227*'Pesos GPS'!B$16+'Pesos GPS'!B$17)</f>
        <v>0</v>
      </c>
      <c r="N227" s="5">
        <f>MAX(0,I227*'Pesos GPS'!C$13+J227*'Pesos GPS'!C$14+K227*'Pesos GPS'!C$15+L227*'Pesos GPS'!C$16+'Pesos GPS'!C$17)</f>
        <v>0</v>
      </c>
      <c r="O227" s="5">
        <f>MAX(0,I227*'Pesos GPS'!D$13+J227*'Pesos GPS'!D$14+K227*'Pesos GPS'!D$15+L227*'Pesos GPS'!D$16+'Pesos GPS'!D$17)</f>
        <v>0</v>
      </c>
      <c r="P227" s="5">
        <f>MAX(0,I227*'Pesos GPS'!E$13+J227*'Pesos GPS'!E$14+K227*'Pesos GPS'!E$15+L227*'Pesos GPS'!E$16+'Pesos GPS'!E$17)</f>
        <v>0</v>
      </c>
      <c r="Q227" s="5">
        <f>MAX(0,I227*'Pesos GPS'!F$13+J227*'Pesos GPS'!F$14+K227*'Pesos GPS'!F$15+L227*'Pesos GPS'!F$16+'Pesos GPS'!F$17)</f>
        <v>0</v>
      </c>
      <c r="R227" s="5">
        <f>MAX(0,I227*'Pesos GPS'!G$13+J227*'Pesos GPS'!G$14+K227*'Pesos GPS'!G$15+L227*'Pesos GPS'!G$16+'Pesos GPS'!G$17)</f>
        <v>0</v>
      </c>
      <c r="S227" s="5">
        <f>MAX(0,I227*'Pesos GPS'!H$13+J227*'Pesos GPS'!H$14+K227*'Pesos GPS'!H$15+L227*'Pesos GPS'!H$16+'Pesos GPS'!H$17)</f>
        <v>0</v>
      </c>
      <c r="T227" s="5">
        <f>MAX(0,I227*'Pesos GPS'!I$13+J227*'Pesos GPS'!I$14+K227*'Pesos GPS'!I$15+L227*'Pesos GPS'!I$16+'Pesos GPS'!I$17)</f>
        <v>0</v>
      </c>
      <c r="U227" s="5">
        <f>M227*'Pesos GPS'!$B$22+N227*'Pesos GPS'!$B$23+O227*'Pesos GPS'!$B$24+P227*'Pesos GPS'!$B$25+Q227*'Pesos GPS'!$B$26+R227*'Pesos GPS'!$B$27+S227*'Pesos GPS'!$B$28+T227*'Pesos GPS'!$B$29+'Pesos GPS'!$B$30</f>
        <v>2.37807146</v>
      </c>
      <c r="V227" s="5">
        <f t="shared" si="1"/>
        <v>0.9151397857</v>
      </c>
      <c r="W227" s="3">
        <f t="shared" si="2"/>
        <v>1</v>
      </c>
      <c r="X227" s="3">
        <f t="shared" si="3"/>
        <v>1</v>
      </c>
      <c r="Y227" s="9">
        <f t="shared" si="4"/>
        <v>0</v>
      </c>
      <c r="Z227" s="9">
        <v>0.9151397857284129</v>
      </c>
      <c r="AA227" s="3" t="str">
        <f t="shared" si="5"/>
        <v>OK</v>
      </c>
    </row>
    <row r="228" ht="15.75" customHeight="1">
      <c r="A228" s="3">
        <v>227.0</v>
      </c>
      <c r="B228" s="3" t="s">
        <v>20</v>
      </c>
      <c r="C228" s="7">
        <v>35.671071</v>
      </c>
      <c r="D228" s="7">
        <v>139.701227</v>
      </c>
      <c r="E228" s="3">
        <v>1.0</v>
      </c>
      <c r="F228" s="3" t="s">
        <v>55</v>
      </c>
      <c r="G228" s="5">
        <f>(C228-'Pesos GPS'!$L$4)/'Pesos GPS'!$L$5</f>
        <v>-1.002262452</v>
      </c>
      <c r="H228" s="5">
        <f>(D228-'Pesos GPS'!$L$6)/'Pesos GPS'!$L$7</f>
        <v>1.000492593</v>
      </c>
      <c r="I228" s="5">
        <f>MAX(0,G228*'Pesos GPS'!B$6+H228*'Pesos GPS'!B$7+'Pesos GPS'!B$8)</f>
        <v>0</v>
      </c>
      <c r="J228" s="5">
        <f>MAX(0,G228*'Pesos GPS'!C$6+H228*'Pesos GPS'!C$7+'Pesos GPS'!C$8)</f>
        <v>0</v>
      </c>
      <c r="K228" s="5">
        <f>MAX(0,G228*'Pesos GPS'!D$6+H228*'Pesos GPS'!D$7+'Pesos GPS'!D$8)</f>
        <v>0</v>
      </c>
      <c r="L228" s="5">
        <f>MAX(0,G228*'Pesos GPS'!E$6+H228*'Pesos GPS'!E$7+'Pesos GPS'!E$8)</f>
        <v>0</v>
      </c>
      <c r="M228" s="5">
        <f>MAX(0,I228*'Pesos GPS'!B$13+J228*'Pesos GPS'!B$14+K228*'Pesos GPS'!B$15+L228*'Pesos GPS'!B$16+'Pesos GPS'!B$17)</f>
        <v>0</v>
      </c>
      <c r="N228" s="5">
        <f>MAX(0,I228*'Pesos GPS'!C$13+J228*'Pesos GPS'!C$14+K228*'Pesos GPS'!C$15+L228*'Pesos GPS'!C$16+'Pesos GPS'!C$17)</f>
        <v>0</v>
      </c>
      <c r="O228" s="5">
        <f>MAX(0,I228*'Pesos GPS'!D$13+J228*'Pesos GPS'!D$14+K228*'Pesos GPS'!D$15+L228*'Pesos GPS'!D$16+'Pesos GPS'!D$17)</f>
        <v>0</v>
      </c>
      <c r="P228" s="5">
        <f>MAX(0,I228*'Pesos GPS'!E$13+J228*'Pesos GPS'!E$14+K228*'Pesos GPS'!E$15+L228*'Pesos GPS'!E$16+'Pesos GPS'!E$17)</f>
        <v>0</v>
      </c>
      <c r="Q228" s="5">
        <f>MAX(0,I228*'Pesos GPS'!F$13+J228*'Pesos GPS'!F$14+K228*'Pesos GPS'!F$15+L228*'Pesos GPS'!F$16+'Pesos GPS'!F$17)</f>
        <v>0</v>
      </c>
      <c r="R228" s="5">
        <f>MAX(0,I228*'Pesos GPS'!G$13+J228*'Pesos GPS'!G$14+K228*'Pesos GPS'!G$15+L228*'Pesos GPS'!G$16+'Pesos GPS'!G$17)</f>
        <v>0</v>
      </c>
      <c r="S228" s="5">
        <f>MAX(0,I228*'Pesos GPS'!H$13+J228*'Pesos GPS'!H$14+K228*'Pesos GPS'!H$15+L228*'Pesos GPS'!H$16+'Pesos GPS'!H$17)</f>
        <v>0</v>
      </c>
      <c r="T228" s="5">
        <f>MAX(0,I228*'Pesos GPS'!I$13+J228*'Pesos GPS'!I$14+K228*'Pesos GPS'!I$15+L228*'Pesos GPS'!I$16+'Pesos GPS'!I$17)</f>
        <v>0</v>
      </c>
      <c r="U228" s="5">
        <f>M228*'Pesos GPS'!$B$22+N228*'Pesos GPS'!$B$23+O228*'Pesos GPS'!$B$24+P228*'Pesos GPS'!$B$25+Q228*'Pesos GPS'!$B$26+R228*'Pesos GPS'!$B$27+S228*'Pesos GPS'!$B$28+T228*'Pesos GPS'!$B$29+'Pesos GPS'!$B$30</f>
        <v>2.37807146</v>
      </c>
      <c r="V228" s="5">
        <f t="shared" si="1"/>
        <v>0.9151397857</v>
      </c>
      <c r="W228" s="3">
        <f t="shared" si="2"/>
        <v>1</v>
      </c>
      <c r="X228" s="3">
        <f t="shared" si="3"/>
        <v>1</v>
      </c>
      <c r="Y228" s="9">
        <f t="shared" si="4"/>
        <v>0</v>
      </c>
      <c r="Z228" s="9">
        <v>0.9151397857284129</v>
      </c>
      <c r="AA228" s="3" t="str">
        <f t="shared" si="5"/>
        <v>OK</v>
      </c>
    </row>
    <row r="229" ht="15.75" customHeight="1">
      <c r="A229" s="3">
        <v>228.0</v>
      </c>
      <c r="B229" s="3" t="s">
        <v>20</v>
      </c>
      <c r="C229" s="7">
        <v>35.626112</v>
      </c>
      <c r="D229" s="7">
        <v>139.654902</v>
      </c>
      <c r="E229" s="3">
        <v>1.0</v>
      </c>
      <c r="F229" s="3" t="s">
        <v>55</v>
      </c>
      <c r="G229" s="5">
        <f>(C229-'Pesos GPS'!$L$4)/'Pesos GPS'!$L$5</f>
        <v>-1.020120307</v>
      </c>
      <c r="H229" s="5">
        <f>(D229-'Pesos GPS'!$L$6)/'Pesos GPS'!$L$7</f>
        <v>1.000058951</v>
      </c>
      <c r="I229" s="5">
        <f>MAX(0,G229*'Pesos GPS'!B$6+H229*'Pesos GPS'!B$7+'Pesos GPS'!B$8)</f>
        <v>0</v>
      </c>
      <c r="J229" s="5">
        <f>MAX(0,G229*'Pesos GPS'!C$6+H229*'Pesos GPS'!C$7+'Pesos GPS'!C$8)</f>
        <v>0</v>
      </c>
      <c r="K229" s="5">
        <f>MAX(0,G229*'Pesos GPS'!D$6+H229*'Pesos GPS'!D$7+'Pesos GPS'!D$8)</f>
        <v>0</v>
      </c>
      <c r="L229" s="5">
        <f>MAX(0,G229*'Pesos GPS'!E$6+H229*'Pesos GPS'!E$7+'Pesos GPS'!E$8)</f>
        <v>0</v>
      </c>
      <c r="M229" s="5">
        <f>MAX(0,I229*'Pesos GPS'!B$13+J229*'Pesos GPS'!B$14+K229*'Pesos GPS'!B$15+L229*'Pesos GPS'!B$16+'Pesos GPS'!B$17)</f>
        <v>0</v>
      </c>
      <c r="N229" s="5">
        <f>MAX(0,I229*'Pesos GPS'!C$13+J229*'Pesos GPS'!C$14+K229*'Pesos GPS'!C$15+L229*'Pesos GPS'!C$16+'Pesos GPS'!C$17)</f>
        <v>0</v>
      </c>
      <c r="O229" s="5">
        <f>MAX(0,I229*'Pesos GPS'!D$13+J229*'Pesos GPS'!D$14+K229*'Pesos GPS'!D$15+L229*'Pesos GPS'!D$16+'Pesos GPS'!D$17)</f>
        <v>0</v>
      </c>
      <c r="P229" s="5">
        <f>MAX(0,I229*'Pesos GPS'!E$13+J229*'Pesos GPS'!E$14+K229*'Pesos GPS'!E$15+L229*'Pesos GPS'!E$16+'Pesos GPS'!E$17)</f>
        <v>0</v>
      </c>
      <c r="Q229" s="5">
        <f>MAX(0,I229*'Pesos GPS'!F$13+J229*'Pesos GPS'!F$14+K229*'Pesos GPS'!F$15+L229*'Pesos GPS'!F$16+'Pesos GPS'!F$17)</f>
        <v>0</v>
      </c>
      <c r="R229" s="5">
        <f>MAX(0,I229*'Pesos GPS'!G$13+J229*'Pesos GPS'!G$14+K229*'Pesos GPS'!G$15+L229*'Pesos GPS'!G$16+'Pesos GPS'!G$17)</f>
        <v>0</v>
      </c>
      <c r="S229" s="5">
        <f>MAX(0,I229*'Pesos GPS'!H$13+J229*'Pesos GPS'!H$14+K229*'Pesos GPS'!H$15+L229*'Pesos GPS'!H$16+'Pesos GPS'!H$17)</f>
        <v>0</v>
      </c>
      <c r="T229" s="5">
        <f>MAX(0,I229*'Pesos GPS'!I$13+J229*'Pesos GPS'!I$14+K229*'Pesos GPS'!I$15+L229*'Pesos GPS'!I$16+'Pesos GPS'!I$17)</f>
        <v>0</v>
      </c>
      <c r="U229" s="5">
        <f>M229*'Pesos GPS'!$B$22+N229*'Pesos GPS'!$B$23+O229*'Pesos GPS'!$B$24+P229*'Pesos GPS'!$B$25+Q229*'Pesos GPS'!$B$26+R229*'Pesos GPS'!$B$27+S229*'Pesos GPS'!$B$28+T229*'Pesos GPS'!$B$29+'Pesos GPS'!$B$30</f>
        <v>2.37807146</v>
      </c>
      <c r="V229" s="5">
        <f t="shared" si="1"/>
        <v>0.9151397857</v>
      </c>
      <c r="W229" s="3">
        <f t="shared" si="2"/>
        <v>1</v>
      </c>
      <c r="X229" s="3">
        <f t="shared" si="3"/>
        <v>1</v>
      </c>
      <c r="Y229" s="9">
        <f t="shared" si="4"/>
        <v>0</v>
      </c>
      <c r="Z229" s="9">
        <v>0.9151397857284129</v>
      </c>
      <c r="AA229" s="3" t="str">
        <f t="shared" si="5"/>
        <v>OK</v>
      </c>
    </row>
    <row r="230" ht="15.75" customHeight="1">
      <c r="A230" s="3">
        <v>229.0</v>
      </c>
      <c r="B230" s="3" t="s">
        <v>20</v>
      </c>
      <c r="C230" s="7">
        <v>35.716306</v>
      </c>
      <c r="D230" s="7">
        <v>139.659338</v>
      </c>
      <c r="E230" s="3">
        <v>1.0</v>
      </c>
      <c r="F230" s="3" t="s">
        <v>55</v>
      </c>
      <c r="G230" s="5">
        <f>(C230-'Pesos GPS'!$L$4)/'Pesos GPS'!$L$5</f>
        <v>-0.9842949695</v>
      </c>
      <c r="H230" s="5">
        <f>(D230-'Pesos GPS'!$L$6)/'Pesos GPS'!$L$7</f>
        <v>1.000100475</v>
      </c>
      <c r="I230" s="5">
        <f>MAX(0,G230*'Pesos GPS'!B$6+H230*'Pesos GPS'!B$7+'Pesos GPS'!B$8)</f>
        <v>0</v>
      </c>
      <c r="J230" s="5">
        <f>MAX(0,G230*'Pesos GPS'!C$6+H230*'Pesos GPS'!C$7+'Pesos GPS'!C$8)</f>
        <v>0</v>
      </c>
      <c r="K230" s="5">
        <f>MAX(0,G230*'Pesos GPS'!D$6+H230*'Pesos GPS'!D$7+'Pesos GPS'!D$8)</f>
        <v>0</v>
      </c>
      <c r="L230" s="5">
        <f>MAX(0,G230*'Pesos GPS'!E$6+H230*'Pesos GPS'!E$7+'Pesos GPS'!E$8)</f>
        <v>0</v>
      </c>
      <c r="M230" s="5">
        <f>MAX(0,I230*'Pesos GPS'!B$13+J230*'Pesos GPS'!B$14+K230*'Pesos GPS'!B$15+L230*'Pesos GPS'!B$16+'Pesos GPS'!B$17)</f>
        <v>0</v>
      </c>
      <c r="N230" s="5">
        <f>MAX(0,I230*'Pesos GPS'!C$13+J230*'Pesos GPS'!C$14+K230*'Pesos GPS'!C$15+L230*'Pesos GPS'!C$16+'Pesos GPS'!C$17)</f>
        <v>0</v>
      </c>
      <c r="O230" s="5">
        <f>MAX(0,I230*'Pesos GPS'!D$13+J230*'Pesos GPS'!D$14+K230*'Pesos GPS'!D$15+L230*'Pesos GPS'!D$16+'Pesos GPS'!D$17)</f>
        <v>0</v>
      </c>
      <c r="P230" s="5">
        <f>MAX(0,I230*'Pesos GPS'!E$13+J230*'Pesos GPS'!E$14+K230*'Pesos GPS'!E$15+L230*'Pesos GPS'!E$16+'Pesos GPS'!E$17)</f>
        <v>0</v>
      </c>
      <c r="Q230" s="5">
        <f>MAX(0,I230*'Pesos GPS'!F$13+J230*'Pesos GPS'!F$14+K230*'Pesos GPS'!F$15+L230*'Pesos GPS'!F$16+'Pesos GPS'!F$17)</f>
        <v>0</v>
      </c>
      <c r="R230" s="5">
        <f>MAX(0,I230*'Pesos GPS'!G$13+J230*'Pesos GPS'!G$14+K230*'Pesos GPS'!G$15+L230*'Pesos GPS'!G$16+'Pesos GPS'!G$17)</f>
        <v>0</v>
      </c>
      <c r="S230" s="5">
        <f>MAX(0,I230*'Pesos GPS'!H$13+J230*'Pesos GPS'!H$14+K230*'Pesos GPS'!H$15+L230*'Pesos GPS'!H$16+'Pesos GPS'!H$17)</f>
        <v>0</v>
      </c>
      <c r="T230" s="5">
        <f>MAX(0,I230*'Pesos GPS'!I$13+J230*'Pesos GPS'!I$14+K230*'Pesos GPS'!I$15+L230*'Pesos GPS'!I$16+'Pesos GPS'!I$17)</f>
        <v>0</v>
      </c>
      <c r="U230" s="5">
        <f>M230*'Pesos GPS'!$B$22+N230*'Pesos GPS'!$B$23+O230*'Pesos GPS'!$B$24+P230*'Pesos GPS'!$B$25+Q230*'Pesos GPS'!$B$26+R230*'Pesos GPS'!$B$27+S230*'Pesos GPS'!$B$28+T230*'Pesos GPS'!$B$29+'Pesos GPS'!$B$30</f>
        <v>2.37807146</v>
      </c>
      <c r="V230" s="5">
        <f t="shared" si="1"/>
        <v>0.9151397857</v>
      </c>
      <c r="W230" s="3">
        <f t="shared" si="2"/>
        <v>1</v>
      </c>
      <c r="X230" s="3">
        <f t="shared" si="3"/>
        <v>1</v>
      </c>
      <c r="Y230" s="9">
        <f t="shared" si="4"/>
        <v>0</v>
      </c>
      <c r="Z230" s="9">
        <v>0.9151397857284129</v>
      </c>
      <c r="AA230" s="3" t="str">
        <f t="shared" si="5"/>
        <v>OK</v>
      </c>
    </row>
    <row r="231" ht="15.75" customHeight="1">
      <c r="A231" s="3">
        <v>230.0</v>
      </c>
      <c r="B231" s="3" t="s">
        <v>20</v>
      </c>
      <c r="C231" s="7">
        <v>35.664758</v>
      </c>
      <c r="D231" s="7">
        <v>139.705065</v>
      </c>
      <c r="E231" s="3">
        <v>1.0</v>
      </c>
      <c r="F231" s="3" t="s">
        <v>55</v>
      </c>
      <c r="G231" s="5">
        <f>(C231-'Pesos GPS'!$L$4)/'Pesos GPS'!$L$5</f>
        <v>-1.004769996</v>
      </c>
      <c r="H231" s="5">
        <f>(D231-'Pesos GPS'!$L$6)/'Pesos GPS'!$L$7</f>
        <v>1.00052852</v>
      </c>
      <c r="I231" s="5">
        <f>MAX(0,G231*'Pesos GPS'!B$6+H231*'Pesos GPS'!B$7+'Pesos GPS'!B$8)</f>
        <v>0</v>
      </c>
      <c r="J231" s="5">
        <f>MAX(0,G231*'Pesos GPS'!C$6+H231*'Pesos GPS'!C$7+'Pesos GPS'!C$8)</f>
        <v>0</v>
      </c>
      <c r="K231" s="5">
        <f>MAX(0,G231*'Pesos GPS'!D$6+H231*'Pesos GPS'!D$7+'Pesos GPS'!D$8)</f>
        <v>0</v>
      </c>
      <c r="L231" s="5">
        <f>MAX(0,G231*'Pesos GPS'!E$6+H231*'Pesos GPS'!E$7+'Pesos GPS'!E$8)</f>
        <v>0</v>
      </c>
      <c r="M231" s="5">
        <f>MAX(0,I231*'Pesos GPS'!B$13+J231*'Pesos GPS'!B$14+K231*'Pesos GPS'!B$15+L231*'Pesos GPS'!B$16+'Pesos GPS'!B$17)</f>
        <v>0</v>
      </c>
      <c r="N231" s="5">
        <f>MAX(0,I231*'Pesos GPS'!C$13+J231*'Pesos GPS'!C$14+K231*'Pesos GPS'!C$15+L231*'Pesos GPS'!C$16+'Pesos GPS'!C$17)</f>
        <v>0</v>
      </c>
      <c r="O231" s="5">
        <f>MAX(0,I231*'Pesos GPS'!D$13+J231*'Pesos GPS'!D$14+K231*'Pesos GPS'!D$15+L231*'Pesos GPS'!D$16+'Pesos GPS'!D$17)</f>
        <v>0</v>
      </c>
      <c r="P231" s="5">
        <f>MAX(0,I231*'Pesos GPS'!E$13+J231*'Pesos GPS'!E$14+K231*'Pesos GPS'!E$15+L231*'Pesos GPS'!E$16+'Pesos GPS'!E$17)</f>
        <v>0</v>
      </c>
      <c r="Q231" s="5">
        <f>MAX(0,I231*'Pesos GPS'!F$13+J231*'Pesos GPS'!F$14+K231*'Pesos GPS'!F$15+L231*'Pesos GPS'!F$16+'Pesos GPS'!F$17)</f>
        <v>0</v>
      </c>
      <c r="R231" s="5">
        <f>MAX(0,I231*'Pesos GPS'!G$13+J231*'Pesos GPS'!G$14+K231*'Pesos GPS'!G$15+L231*'Pesos GPS'!G$16+'Pesos GPS'!G$17)</f>
        <v>0</v>
      </c>
      <c r="S231" s="5">
        <f>MAX(0,I231*'Pesos GPS'!H$13+J231*'Pesos GPS'!H$14+K231*'Pesos GPS'!H$15+L231*'Pesos GPS'!H$16+'Pesos GPS'!H$17)</f>
        <v>0</v>
      </c>
      <c r="T231" s="5">
        <f>MAX(0,I231*'Pesos GPS'!I$13+J231*'Pesos GPS'!I$14+K231*'Pesos GPS'!I$15+L231*'Pesos GPS'!I$16+'Pesos GPS'!I$17)</f>
        <v>0</v>
      </c>
      <c r="U231" s="5">
        <f>M231*'Pesos GPS'!$B$22+N231*'Pesos GPS'!$B$23+O231*'Pesos GPS'!$B$24+P231*'Pesos GPS'!$B$25+Q231*'Pesos GPS'!$B$26+R231*'Pesos GPS'!$B$27+S231*'Pesos GPS'!$B$28+T231*'Pesos GPS'!$B$29+'Pesos GPS'!$B$30</f>
        <v>2.37807146</v>
      </c>
      <c r="V231" s="5">
        <f t="shared" si="1"/>
        <v>0.9151397857</v>
      </c>
      <c r="W231" s="3">
        <f t="shared" si="2"/>
        <v>1</v>
      </c>
      <c r="X231" s="3">
        <f t="shared" si="3"/>
        <v>1</v>
      </c>
      <c r="Y231" s="9">
        <f t="shared" si="4"/>
        <v>0</v>
      </c>
      <c r="Z231" s="9">
        <v>0.9151397857284129</v>
      </c>
      <c r="AA231" s="3" t="str">
        <f t="shared" si="5"/>
        <v>OK</v>
      </c>
    </row>
    <row r="232" ht="15.75" customHeight="1">
      <c r="A232" s="3">
        <v>231.0</v>
      </c>
      <c r="B232" s="3" t="s">
        <v>20</v>
      </c>
      <c r="C232" s="7">
        <v>35.678897</v>
      </c>
      <c r="D232" s="7">
        <v>139.637638</v>
      </c>
      <c r="E232" s="3">
        <v>1.0</v>
      </c>
      <c r="F232" s="3" t="s">
        <v>55</v>
      </c>
      <c r="G232" s="5">
        <f>(C232-'Pesos GPS'!$L$4)/'Pesos GPS'!$L$5</f>
        <v>-0.9991539408</v>
      </c>
      <c r="H232" s="5">
        <f>(D232-'Pesos GPS'!$L$6)/'Pesos GPS'!$L$7</f>
        <v>0.9998973446</v>
      </c>
      <c r="I232" s="5">
        <f>MAX(0,G232*'Pesos GPS'!B$6+H232*'Pesos GPS'!B$7+'Pesos GPS'!B$8)</f>
        <v>0</v>
      </c>
      <c r="J232" s="5">
        <f>MAX(0,G232*'Pesos GPS'!C$6+H232*'Pesos GPS'!C$7+'Pesos GPS'!C$8)</f>
        <v>0</v>
      </c>
      <c r="K232" s="5">
        <f>MAX(0,G232*'Pesos GPS'!D$6+H232*'Pesos GPS'!D$7+'Pesos GPS'!D$8)</f>
        <v>0</v>
      </c>
      <c r="L232" s="5">
        <f>MAX(0,G232*'Pesos GPS'!E$6+H232*'Pesos GPS'!E$7+'Pesos GPS'!E$8)</f>
        <v>0</v>
      </c>
      <c r="M232" s="5">
        <f>MAX(0,I232*'Pesos GPS'!B$13+J232*'Pesos GPS'!B$14+K232*'Pesos GPS'!B$15+L232*'Pesos GPS'!B$16+'Pesos GPS'!B$17)</f>
        <v>0</v>
      </c>
      <c r="N232" s="5">
        <f>MAX(0,I232*'Pesos GPS'!C$13+J232*'Pesos GPS'!C$14+K232*'Pesos GPS'!C$15+L232*'Pesos GPS'!C$16+'Pesos GPS'!C$17)</f>
        <v>0</v>
      </c>
      <c r="O232" s="5">
        <f>MAX(0,I232*'Pesos GPS'!D$13+J232*'Pesos GPS'!D$14+K232*'Pesos GPS'!D$15+L232*'Pesos GPS'!D$16+'Pesos GPS'!D$17)</f>
        <v>0</v>
      </c>
      <c r="P232" s="5">
        <f>MAX(0,I232*'Pesos GPS'!E$13+J232*'Pesos GPS'!E$14+K232*'Pesos GPS'!E$15+L232*'Pesos GPS'!E$16+'Pesos GPS'!E$17)</f>
        <v>0</v>
      </c>
      <c r="Q232" s="5">
        <f>MAX(0,I232*'Pesos GPS'!F$13+J232*'Pesos GPS'!F$14+K232*'Pesos GPS'!F$15+L232*'Pesos GPS'!F$16+'Pesos GPS'!F$17)</f>
        <v>0</v>
      </c>
      <c r="R232" s="5">
        <f>MAX(0,I232*'Pesos GPS'!G$13+J232*'Pesos GPS'!G$14+K232*'Pesos GPS'!G$15+L232*'Pesos GPS'!G$16+'Pesos GPS'!G$17)</f>
        <v>0</v>
      </c>
      <c r="S232" s="5">
        <f>MAX(0,I232*'Pesos GPS'!H$13+J232*'Pesos GPS'!H$14+K232*'Pesos GPS'!H$15+L232*'Pesos GPS'!H$16+'Pesos GPS'!H$17)</f>
        <v>0</v>
      </c>
      <c r="T232" s="5">
        <f>MAX(0,I232*'Pesos GPS'!I$13+J232*'Pesos GPS'!I$14+K232*'Pesos GPS'!I$15+L232*'Pesos GPS'!I$16+'Pesos GPS'!I$17)</f>
        <v>0</v>
      </c>
      <c r="U232" s="5">
        <f>M232*'Pesos GPS'!$B$22+N232*'Pesos GPS'!$B$23+O232*'Pesos GPS'!$B$24+P232*'Pesos GPS'!$B$25+Q232*'Pesos GPS'!$B$26+R232*'Pesos GPS'!$B$27+S232*'Pesos GPS'!$B$28+T232*'Pesos GPS'!$B$29+'Pesos GPS'!$B$30</f>
        <v>2.37807146</v>
      </c>
      <c r="V232" s="5">
        <f t="shared" si="1"/>
        <v>0.9151397857</v>
      </c>
      <c r="W232" s="3">
        <f t="shared" si="2"/>
        <v>1</v>
      </c>
      <c r="X232" s="3">
        <f t="shared" si="3"/>
        <v>1</v>
      </c>
      <c r="Y232" s="9">
        <f t="shared" si="4"/>
        <v>0</v>
      </c>
      <c r="Z232" s="9">
        <v>0.9151397857284129</v>
      </c>
      <c r="AA232" s="3" t="str">
        <f t="shared" si="5"/>
        <v>OK</v>
      </c>
    </row>
    <row r="233" ht="15.75" customHeight="1">
      <c r="A233" s="3">
        <v>232.0</v>
      </c>
      <c r="B233" s="3" t="s">
        <v>20</v>
      </c>
      <c r="C233" s="7">
        <v>35.708939</v>
      </c>
      <c r="D233" s="7">
        <v>139.617361</v>
      </c>
      <c r="E233" s="3">
        <v>1.0</v>
      </c>
      <c r="F233" s="3" t="s">
        <v>55</v>
      </c>
      <c r="G233" s="5">
        <f>(C233-'Pesos GPS'!$L$4)/'Pesos GPS'!$L$5</f>
        <v>-0.9872211648</v>
      </c>
      <c r="H233" s="5">
        <f>(D233-'Pesos GPS'!$L$6)/'Pesos GPS'!$L$7</f>
        <v>0.9997075343</v>
      </c>
      <c r="I233" s="5">
        <f>MAX(0,G233*'Pesos GPS'!B$6+H233*'Pesos GPS'!B$7+'Pesos GPS'!B$8)</f>
        <v>0</v>
      </c>
      <c r="J233" s="5">
        <f>MAX(0,G233*'Pesos GPS'!C$6+H233*'Pesos GPS'!C$7+'Pesos GPS'!C$8)</f>
        <v>0</v>
      </c>
      <c r="K233" s="5">
        <f>MAX(0,G233*'Pesos GPS'!D$6+H233*'Pesos GPS'!D$7+'Pesos GPS'!D$8)</f>
        <v>0</v>
      </c>
      <c r="L233" s="5">
        <f>MAX(0,G233*'Pesos GPS'!E$6+H233*'Pesos GPS'!E$7+'Pesos GPS'!E$8)</f>
        <v>0</v>
      </c>
      <c r="M233" s="5">
        <f>MAX(0,I233*'Pesos GPS'!B$13+J233*'Pesos GPS'!B$14+K233*'Pesos GPS'!B$15+L233*'Pesos GPS'!B$16+'Pesos GPS'!B$17)</f>
        <v>0</v>
      </c>
      <c r="N233" s="5">
        <f>MAX(0,I233*'Pesos GPS'!C$13+J233*'Pesos GPS'!C$14+K233*'Pesos GPS'!C$15+L233*'Pesos GPS'!C$16+'Pesos GPS'!C$17)</f>
        <v>0</v>
      </c>
      <c r="O233" s="5">
        <f>MAX(0,I233*'Pesos GPS'!D$13+J233*'Pesos GPS'!D$14+K233*'Pesos GPS'!D$15+L233*'Pesos GPS'!D$16+'Pesos GPS'!D$17)</f>
        <v>0</v>
      </c>
      <c r="P233" s="5">
        <f>MAX(0,I233*'Pesos GPS'!E$13+J233*'Pesos GPS'!E$14+K233*'Pesos GPS'!E$15+L233*'Pesos GPS'!E$16+'Pesos GPS'!E$17)</f>
        <v>0</v>
      </c>
      <c r="Q233" s="5">
        <f>MAX(0,I233*'Pesos GPS'!F$13+J233*'Pesos GPS'!F$14+K233*'Pesos GPS'!F$15+L233*'Pesos GPS'!F$16+'Pesos GPS'!F$17)</f>
        <v>0</v>
      </c>
      <c r="R233" s="5">
        <f>MAX(0,I233*'Pesos GPS'!G$13+J233*'Pesos GPS'!G$14+K233*'Pesos GPS'!G$15+L233*'Pesos GPS'!G$16+'Pesos GPS'!G$17)</f>
        <v>0</v>
      </c>
      <c r="S233" s="5">
        <f>MAX(0,I233*'Pesos GPS'!H$13+J233*'Pesos GPS'!H$14+K233*'Pesos GPS'!H$15+L233*'Pesos GPS'!H$16+'Pesos GPS'!H$17)</f>
        <v>0</v>
      </c>
      <c r="T233" s="5">
        <f>MAX(0,I233*'Pesos GPS'!I$13+J233*'Pesos GPS'!I$14+K233*'Pesos GPS'!I$15+L233*'Pesos GPS'!I$16+'Pesos GPS'!I$17)</f>
        <v>0</v>
      </c>
      <c r="U233" s="5">
        <f>M233*'Pesos GPS'!$B$22+N233*'Pesos GPS'!$B$23+O233*'Pesos GPS'!$B$24+P233*'Pesos GPS'!$B$25+Q233*'Pesos GPS'!$B$26+R233*'Pesos GPS'!$B$27+S233*'Pesos GPS'!$B$28+T233*'Pesos GPS'!$B$29+'Pesos GPS'!$B$30</f>
        <v>2.37807146</v>
      </c>
      <c r="V233" s="5">
        <f t="shared" si="1"/>
        <v>0.9151397857</v>
      </c>
      <c r="W233" s="3">
        <f t="shared" si="2"/>
        <v>1</v>
      </c>
      <c r="X233" s="3">
        <f t="shared" si="3"/>
        <v>1</v>
      </c>
      <c r="Y233" s="9">
        <f t="shared" si="4"/>
        <v>0</v>
      </c>
      <c r="Z233" s="9">
        <v>0.9151397857284129</v>
      </c>
      <c r="AA233" s="3" t="str">
        <f t="shared" si="5"/>
        <v>OK</v>
      </c>
    </row>
    <row r="234" ht="15.75" customHeight="1">
      <c r="A234" s="3">
        <v>233.0</v>
      </c>
      <c r="B234" s="3" t="s">
        <v>20</v>
      </c>
      <c r="C234" s="7">
        <v>35.636144</v>
      </c>
      <c r="D234" s="7">
        <v>139.6346</v>
      </c>
      <c r="E234" s="3">
        <v>1.0</v>
      </c>
      <c r="F234" s="3" t="s">
        <v>55</v>
      </c>
      <c r="G234" s="5">
        <f>(C234-'Pesos GPS'!$L$4)/'Pesos GPS'!$L$5</f>
        <v>-1.016135565</v>
      </c>
      <c r="H234" s="5">
        <f>(D234-'Pesos GPS'!$L$6)/'Pesos GPS'!$L$7</f>
        <v>0.9998689063</v>
      </c>
      <c r="I234" s="5">
        <f>MAX(0,G234*'Pesos GPS'!B$6+H234*'Pesos GPS'!B$7+'Pesos GPS'!B$8)</f>
        <v>0</v>
      </c>
      <c r="J234" s="5">
        <f>MAX(0,G234*'Pesos GPS'!C$6+H234*'Pesos GPS'!C$7+'Pesos GPS'!C$8)</f>
        <v>0</v>
      </c>
      <c r="K234" s="5">
        <f>MAX(0,G234*'Pesos GPS'!D$6+H234*'Pesos GPS'!D$7+'Pesos GPS'!D$8)</f>
        <v>0</v>
      </c>
      <c r="L234" s="5">
        <f>MAX(0,G234*'Pesos GPS'!E$6+H234*'Pesos GPS'!E$7+'Pesos GPS'!E$8)</f>
        <v>0</v>
      </c>
      <c r="M234" s="5">
        <f>MAX(0,I234*'Pesos GPS'!B$13+J234*'Pesos GPS'!B$14+K234*'Pesos GPS'!B$15+L234*'Pesos GPS'!B$16+'Pesos GPS'!B$17)</f>
        <v>0</v>
      </c>
      <c r="N234" s="5">
        <f>MAX(0,I234*'Pesos GPS'!C$13+J234*'Pesos GPS'!C$14+K234*'Pesos GPS'!C$15+L234*'Pesos GPS'!C$16+'Pesos GPS'!C$17)</f>
        <v>0</v>
      </c>
      <c r="O234" s="5">
        <f>MAX(0,I234*'Pesos GPS'!D$13+J234*'Pesos GPS'!D$14+K234*'Pesos GPS'!D$15+L234*'Pesos GPS'!D$16+'Pesos GPS'!D$17)</f>
        <v>0</v>
      </c>
      <c r="P234" s="5">
        <f>MAX(0,I234*'Pesos GPS'!E$13+J234*'Pesos GPS'!E$14+K234*'Pesos GPS'!E$15+L234*'Pesos GPS'!E$16+'Pesos GPS'!E$17)</f>
        <v>0</v>
      </c>
      <c r="Q234" s="5">
        <f>MAX(0,I234*'Pesos GPS'!F$13+J234*'Pesos GPS'!F$14+K234*'Pesos GPS'!F$15+L234*'Pesos GPS'!F$16+'Pesos GPS'!F$17)</f>
        <v>0</v>
      </c>
      <c r="R234" s="5">
        <f>MAX(0,I234*'Pesos GPS'!G$13+J234*'Pesos GPS'!G$14+K234*'Pesos GPS'!G$15+L234*'Pesos GPS'!G$16+'Pesos GPS'!G$17)</f>
        <v>0</v>
      </c>
      <c r="S234" s="5">
        <f>MAX(0,I234*'Pesos GPS'!H$13+J234*'Pesos GPS'!H$14+K234*'Pesos GPS'!H$15+L234*'Pesos GPS'!H$16+'Pesos GPS'!H$17)</f>
        <v>0</v>
      </c>
      <c r="T234" s="5">
        <f>MAX(0,I234*'Pesos GPS'!I$13+J234*'Pesos GPS'!I$14+K234*'Pesos GPS'!I$15+L234*'Pesos GPS'!I$16+'Pesos GPS'!I$17)</f>
        <v>0</v>
      </c>
      <c r="U234" s="5">
        <f>M234*'Pesos GPS'!$B$22+N234*'Pesos GPS'!$B$23+O234*'Pesos GPS'!$B$24+P234*'Pesos GPS'!$B$25+Q234*'Pesos GPS'!$B$26+R234*'Pesos GPS'!$B$27+S234*'Pesos GPS'!$B$28+T234*'Pesos GPS'!$B$29+'Pesos GPS'!$B$30</f>
        <v>2.37807146</v>
      </c>
      <c r="V234" s="5">
        <f t="shared" si="1"/>
        <v>0.9151397857</v>
      </c>
      <c r="W234" s="3">
        <f t="shared" si="2"/>
        <v>1</v>
      </c>
      <c r="X234" s="3">
        <f t="shared" si="3"/>
        <v>1</v>
      </c>
      <c r="Y234" s="9">
        <f t="shared" si="4"/>
        <v>0</v>
      </c>
      <c r="Z234" s="9">
        <v>0.9151397857284129</v>
      </c>
      <c r="AA234" s="3" t="str">
        <f t="shared" si="5"/>
        <v>OK</v>
      </c>
    </row>
    <row r="235" ht="15.75" customHeight="1">
      <c r="A235" s="3">
        <v>234.0</v>
      </c>
      <c r="B235" s="3" t="s">
        <v>20</v>
      </c>
      <c r="C235" s="7">
        <v>35.644909</v>
      </c>
      <c r="D235" s="7">
        <v>139.666132</v>
      </c>
      <c r="E235" s="3">
        <v>1.0</v>
      </c>
      <c r="F235" s="3" t="s">
        <v>55</v>
      </c>
      <c r="G235" s="5">
        <f>(C235-'Pesos GPS'!$L$4)/'Pesos GPS'!$L$5</f>
        <v>-1.01265408</v>
      </c>
      <c r="H235" s="5">
        <f>(D235-'Pesos GPS'!$L$6)/'Pesos GPS'!$L$7</f>
        <v>1.000164073</v>
      </c>
      <c r="I235" s="5">
        <f>MAX(0,G235*'Pesos GPS'!B$6+H235*'Pesos GPS'!B$7+'Pesos GPS'!B$8)</f>
        <v>0</v>
      </c>
      <c r="J235" s="5">
        <f>MAX(0,G235*'Pesos GPS'!C$6+H235*'Pesos GPS'!C$7+'Pesos GPS'!C$8)</f>
        <v>0</v>
      </c>
      <c r="K235" s="5">
        <f>MAX(0,G235*'Pesos GPS'!D$6+H235*'Pesos GPS'!D$7+'Pesos GPS'!D$8)</f>
        <v>0</v>
      </c>
      <c r="L235" s="5">
        <f>MAX(0,G235*'Pesos GPS'!E$6+H235*'Pesos GPS'!E$7+'Pesos GPS'!E$8)</f>
        <v>0</v>
      </c>
      <c r="M235" s="5">
        <f>MAX(0,I235*'Pesos GPS'!B$13+J235*'Pesos GPS'!B$14+K235*'Pesos GPS'!B$15+L235*'Pesos GPS'!B$16+'Pesos GPS'!B$17)</f>
        <v>0</v>
      </c>
      <c r="N235" s="5">
        <f>MAX(0,I235*'Pesos GPS'!C$13+J235*'Pesos GPS'!C$14+K235*'Pesos GPS'!C$15+L235*'Pesos GPS'!C$16+'Pesos GPS'!C$17)</f>
        <v>0</v>
      </c>
      <c r="O235" s="5">
        <f>MAX(0,I235*'Pesos GPS'!D$13+J235*'Pesos GPS'!D$14+K235*'Pesos GPS'!D$15+L235*'Pesos GPS'!D$16+'Pesos GPS'!D$17)</f>
        <v>0</v>
      </c>
      <c r="P235" s="5">
        <f>MAX(0,I235*'Pesos GPS'!E$13+J235*'Pesos GPS'!E$14+K235*'Pesos GPS'!E$15+L235*'Pesos GPS'!E$16+'Pesos GPS'!E$17)</f>
        <v>0</v>
      </c>
      <c r="Q235" s="5">
        <f>MAX(0,I235*'Pesos GPS'!F$13+J235*'Pesos GPS'!F$14+K235*'Pesos GPS'!F$15+L235*'Pesos GPS'!F$16+'Pesos GPS'!F$17)</f>
        <v>0</v>
      </c>
      <c r="R235" s="5">
        <f>MAX(0,I235*'Pesos GPS'!G$13+J235*'Pesos GPS'!G$14+K235*'Pesos GPS'!G$15+L235*'Pesos GPS'!G$16+'Pesos GPS'!G$17)</f>
        <v>0</v>
      </c>
      <c r="S235" s="5">
        <f>MAX(0,I235*'Pesos GPS'!H$13+J235*'Pesos GPS'!H$14+K235*'Pesos GPS'!H$15+L235*'Pesos GPS'!H$16+'Pesos GPS'!H$17)</f>
        <v>0</v>
      </c>
      <c r="T235" s="5">
        <f>MAX(0,I235*'Pesos GPS'!I$13+J235*'Pesos GPS'!I$14+K235*'Pesos GPS'!I$15+L235*'Pesos GPS'!I$16+'Pesos GPS'!I$17)</f>
        <v>0</v>
      </c>
      <c r="U235" s="5">
        <f>M235*'Pesos GPS'!$B$22+N235*'Pesos GPS'!$B$23+O235*'Pesos GPS'!$B$24+P235*'Pesos GPS'!$B$25+Q235*'Pesos GPS'!$B$26+R235*'Pesos GPS'!$B$27+S235*'Pesos GPS'!$B$28+T235*'Pesos GPS'!$B$29+'Pesos GPS'!$B$30</f>
        <v>2.37807146</v>
      </c>
      <c r="V235" s="5">
        <f t="shared" si="1"/>
        <v>0.9151397857</v>
      </c>
      <c r="W235" s="3">
        <f t="shared" si="2"/>
        <v>1</v>
      </c>
      <c r="X235" s="3">
        <f t="shared" si="3"/>
        <v>1</v>
      </c>
      <c r="Y235" s="9">
        <f t="shared" si="4"/>
        <v>0</v>
      </c>
      <c r="Z235" s="9">
        <v>0.9151397857284129</v>
      </c>
      <c r="AA235" s="3" t="str">
        <f t="shared" si="5"/>
        <v>OK</v>
      </c>
    </row>
    <row r="236" ht="15.75" customHeight="1">
      <c r="A236" s="3">
        <v>235.0</v>
      </c>
      <c r="B236" s="3" t="s">
        <v>20</v>
      </c>
      <c r="C236" s="7">
        <v>35.636168</v>
      </c>
      <c r="D236" s="7">
        <v>139.595498</v>
      </c>
      <c r="E236" s="3">
        <v>1.0</v>
      </c>
      <c r="F236" s="3" t="s">
        <v>55</v>
      </c>
      <c r="G236" s="5">
        <f>(C236-'Pesos GPS'!$L$4)/'Pesos GPS'!$L$5</f>
        <v>-1.016126033</v>
      </c>
      <c r="H236" s="5">
        <f>(D236-'Pesos GPS'!$L$6)/'Pesos GPS'!$L$7</f>
        <v>0.9995028777</v>
      </c>
      <c r="I236" s="5">
        <f>MAX(0,G236*'Pesos GPS'!B$6+H236*'Pesos GPS'!B$7+'Pesos GPS'!B$8)</f>
        <v>0</v>
      </c>
      <c r="J236" s="5">
        <f>MAX(0,G236*'Pesos GPS'!C$6+H236*'Pesos GPS'!C$7+'Pesos GPS'!C$8)</f>
        <v>0</v>
      </c>
      <c r="K236" s="5">
        <f>MAX(0,G236*'Pesos GPS'!D$6+H236*'Pesos GPS'!D$7+'Pesos GPS'!D$8)</f>
        <v>0</v>
      </c>
      <c r="L236" s="5">
        <f>MAX(0,G236*'Pesos GPS'!E$6+H236*'Pesos GPS'!E$7+'Pesos GPS'!E$8)</f>
        <v>0</v>
      </c>
      <c r="M236" s="5">
        <f>MAX(0,I236*'Pesos GPS'!B$13+J236*'Pesos GPS'!B$14+K236*'Pesos GPS'!B$15+L236*'Pesos GPS'!B$16+'Pesos GPS'!B$17)</f>
        <v>0</v>
      </c>
      <c r="N236" s="5">
        <f>MAX(0,I236*'Pesos GPS'!C$13+J236*'Pesos GPS'!C$14+K236*'Pesos GPS'!C$15+L236*'Pesos GPS'!C$16+'Pesos GPS'!C$17)</f>
        <v>0</v>
      </c>
      <c r="O236" s="5">
        <f>MAX(0,I236*'Pesos GPS'!D$13+J236*'Pesos GPS'!D$14+K236*'Pesos GPS'!D$15+L236*'Pesos GPS'!D$16+'Pesos GPS'!D$17)</f>
        <v>0</v>
      </c>
      <c r="P236" s="5">
        <f>MAX(0,I236*'Pesos GPS'!E$13+J236*'Pesos GPS'!E$14+K236*'Pesos GPS'!E$15+L236*'Pesos GPS'!E$16+'Pesos GPS'!E$17)</f>
        <v>0</v>
      </c>
      <c r="Q236" s="5">
        <f>MAX(0,I236*'Pesos GPS'!F$13+J236*'Pesos GPS'!F$14+K236*'Pesos GPS'!F$15+L236*'Pesos GPS'!F$16+'Pesos GPS'!F$17)</f>
        <v>0</v>
      </c>
      <c r="R236" s="5">
        <f>MAX(0,I236*'Pesos GPS'!G$13+J236*'Pesos GPS'!G$14+K236*'Pesos GPS'!G$15+L236*'Pesos GPS'!G$16+'Pesos GPS'!G$17)</f>
        <v>0</v>
      </c>
      <c r="S236" s="5">
        <f>MAX(0,I236*'Pesos GPS'!H$13+J236*'Pesos GPS'!H$14+K236*'Pesos GPS'!H$15+L236*'Pesos GPS'!H$16+'Pesos GPS'!H$17)</f>
        <v>0</v>
      </c>
      <c r="T236" s="5">
        <f>MAX(0,I236*'Pesos GPS'!I$13+J236*'Pesos GPS'!I$14+K236*'Pesos GPS'!I$15+L236*'Pesos GPS'!I$16+'Pesos GPS'!I$17)</f>
        <v>0</v>
      </c>
      <c r="U236" s="5">
        <f>M236*'Pesos GPS'!$B$22+N236*'Pesos GPS'!$B$23+O236*'Pesos GPS'!$B$24+P236*'Pesos GPS'!$B$25+Q236*'Pesos GPS'!$B$26+R236*'Pesos GPS'!$B$27+S236*'Pesos GPS'!$B$28+T236*'Pesos GPS'!$B$29+'Pesos GPS'!$B$30</f>
        <v>2.37807146</v>
      </c>
      <c r="V236" s="5">
        <f t="shared" si="1"/>
        <v>0.9151397857</v>
      </c>
      <c r="W236" s="3">
        <f t="shared" si="2"/>
        <v>1</v>
      </c>
      <c r="X236" s="3">
        <f t="shared" si="3"/>
        <v>1</v>
      </c>
      <c r="Y236" s="9">
        <f t="shared" si="4"/>
        <v>0</v>
      </c>
      <c r="Z236" s="9">
        <v>0.9151397857284129</v>
      </c>
      <c r="AA236" s="3" t="str">
        <f t="shared" si="5"/>
        <v>OK</v>
      </c>
    </row>
    <row r="237" ht="15.75" customHeight="1">
      <c r="A237" s="3">
        <v>236.0</v>
      </c>
      <c r="B237" s="3" t="s">
        <v>20</v>
      </c>
      <c r="C237" s="7">
        <v>35.656347</v>
      </c>
      <c r="D237" s="7">
        <v>139.672611</v>
      </c>
      <c r="E237" s="3">
        <v>1.0</v>
      </c>
      <c r="F237" s="3" t="s">
        <v>55</v>
      </c>
      <c r="G237" s="5">
        <f>(C237-'Pesos GPS'!$L$4)/'Pesos GPS'!$L$5</f>
        <v>-1.008110871</v>
      </c>
      <c r="H237" s="5">
        <f>(D237-'Pesos GPS'!$L$6)/'Pesos GPS'!$L$7</f>
        <v>1.000224722</v>
      </c>
      <c r="I237" s="5">
        <f>MAX(0,G237*'Pesos GPS'!B$6+H237*'Pesos GPS'!B$7+'Pesos GPS'!B$8)</f>
        <v>0</v>
      </c>
      <c r="J237" s="5">
        <f>MAX(0,G237*'Pesos GPS'!C$6+H237*'Pesos GPS'!C$7+'Pesos GPS'!C$8)</f>
        <v>0</v>
      </c>
      <c r="K237" s="5">
        <f>MAX(0,G237*'Pesos GPS'!D$6+H237*'Pesos GPS'!D$7+'Pesos GPS'!D$8)</f>
        <v>0</v>
      </c>
      <c r="L237" s="5">
        <f>MAX(0,G237*'Pesos GPS'!E$6+H237*'Pesos GPS'!E$7+'Pesos GPS'!E$8)</f>
        <v>0</v>
      </c>
      <c r="M237" s="5">
        <f>MAX(0,I237*'Pesos GPS'!B$13+J237*'Pesos GPS'!B$14+K237*'Pesos GPS'!B$15+L237*'Pesos GPS'!B$16+'Pesos GPS'!B$17)</f>
        <v>0</v>
      </c>
      <c r="N237" s="5">
        <f>MAX(0,I237*'Pesos GPS'!C$13+J237*'Pesos GPS'!C$14+K237*'Pesos GPS'!C$15+L237*'Pesos GPS'!C$16+'Pesos GPS'!C$17)</f>
        <v>0</v>
      </c>
      <c r="O237" s="5">
        <f>MAX(0,I237*'Pesos GPS'!D$13+J237*'Pesos GPS'!D$14+K237*'Pesos GPS'!D$15+L237*'Pesos GPS'!D$16+'Pesos GPS'!D$17)</f>
        <v>0</v>
      </c>
      <c r="P237" s="5">
        <f>MAX(0,I237*'Pesos GPS'!E$13+J237*'Pesos GPS'!E$14+K237*'Pesos GPS'!E$15+L237*'Pesos GPS'!E$16+'Pesos GPS'!E$17)</f>
        <v>0</v>
      </c>
      <c r="Q237" s="5">
        <f>MAX(0,I237*'Pesos GPS'!F$13+J237*'Pesos GPS'!F$14+K237*'Pesos GPS'!F$15+L237*'Pesos GPS'!F$16+'Pesos GPS'!F$17)</f>
        <v>0</v>
      </c>
      <c r="R237" s="5">
        <f>MAX(0,I237*'Pesos GPS'!G$13+J237*'Pesos GPS'!G$14+K237*'Pesos GPS'!G$15+L237*'Pesos GPS'!G$16+'Pesos GPS'!G$17)</f>
        <v>0</v>
      </c>
      <c r="S237" s="5">
        <f>MAX(0,I237*'Pesos GPS'!H$13+J237*'Pesos GPS'!H$14+K237*'Pesos GPS'!H$15+L237*'Pesos GPS'!H$16+'Pesos GPS'!H$17)</f>
        <v>0</v>
      </c>
      <c r="T237" s="5">
        <f>MAX(0,I237*'Pesos GPS'!I$13+J237*'Pesos GPS'!I$14+K237*'Pesos GPS'!I$15+L237*'Pesos GPS'!I$16+'Pesos GPS'!I$17)</f>
        <v>0</v>
      </c>
      <c r="U237" s="5">
        <f>M237*'Pesos GPS'!$B$22+N237*'Pesos GPS'!$B$23+O237*'Pesos GPS'!$B$24+P237*'Pesos GPS'!$B$25+Q237*'Pesos GPS'!$B$26+R237*'Pesos GPS'!$B$27+S237*'Pesos GPS'!$B$28+T237*'Pesos GPS'!$B$29+'Pesos GPS'!$B$30</f>
        <v>2.37807146</v>
      </c>
      <c r="V237" s="5">
        <f t="shared" si="1"/>
        <v>0.9151397857</v>
      </c>
      <c r="W237" s="3">
        <f t="shared" si="2"/>
        <v>1</v>
      </c>
      <c r="X237" s="3">
        <f t="shared" si="3"/>
        <v>1</v>
      </c>
      <c r="Y237" s="9">
        <f t="shared" si="4"/>
        <v>0</v>
      </c>
      <c r="Z237" s="9">
        <v>0.9151397857284129</v>
      </c>
      <c r="AA237" s="3" t="str">
        <f t="shared" si="5"/>
        <v>OK</v>
      </c>
    </row>
    <row r="238" ht="15.75" customHeight="1">
      <c r="A238" s="3">
        <v>237.0</v>
      </c>
      <c r="B238" s="3" t="s">
        <v>20</v>
      </c>
      <c r="C238" s="7">
        <v>35.687191</v>
      </c>
      <c r="D238" s="7">
        <v>139.631443</v>
      </c>
      <c r="E238" s="3">
        <v>1.0</v>
      </c>
      <c r="F238" s="3" t="s">
        <v>55</v>
      </c>
      <c r="G238" s="5">
        <f>(C238-'Pesos GPS'!$L$4)/'Pesos GPS'!$L$5</f>
        <v>-0.9958595381</v>
      </c>
      <c r="H238" s="5">
        <f>(D238-'Pesos GPS'!$L$6)/'Pesos GPS'!$L$7</f>
        <v>0.9998393541</v>
      </c>
      <c r="I238" s="5">
        <f>MAX(0,G238*'Pesos GPS'!B$6+H238*'Pesos GPS'!B$7+'Pesos GPS'!B$8)</f>
        <v>0</v>
      </c>
      <c r="J238" s="5">
        <f>MAX(0,G238*'Pesos GPS'!C$6+H238*'Pesos GPS'!C$7+'Pesos GPS'!C$8)</f>
        <v>0</v>
      </c>
      <c r="K238" s="5">
        <f>MAX(0,G238*'Pesos GPS'!D$6+H238*'Pesos GPS'!D$7+'Pesos GPS'!D$8)</f>
        <v>0</v>
      </c>
      <c r="L238" s="5">
        <f>MAX(0,G238*'Pesos GPS'!E$6+H238*'Pesos GPS'!E$7+'Pesos GPS'!E$8)</f>
        <v>0</v>
      </c>
      <c r="M238" s="5">
        <f>MAX(0,I238*'Pesos GPS'!B$13+J238*'Pesos GPS'!B$14+K238*'Pesos GPS'!B$15+L238*'Pesos GPS'!B$16+'Pesos GPS'!B$17)</f>
        <v>0</v>
      </c>
      <c r="N238" s="5">
        <f>MAX(0,I238*'Pesos GPS'!C$13+J238*'Pesos GPS'!C$14+K238*'Pesos GPS'!C$15+L238*'Pesos GPS'!C$16+'Pesos GPS'!C$17)</f>
        <v>0</v>
      </c>
      <c r="O238" s="5">
        <f>MAX(0,I238*'Pesos GPS'!D$13+J238*'Pesos GPS'!D$14+K238*'Pesos GPS'!D$15+L238*'Pesos GPS'!D$16+'Pesos GPS'!D$17)</f>
        <v>0</v>
      </c>
      <c r="P238" s="5">
        <f>MAX(0,I238*'Pesos GPS'!E$13+J238*'Pesos GPS'!E$14+K238*'Pesos GPS'!E$15+L238*'Pesos GPS'!E$16+'Pesos GPS'!E$17)</f>
        <v>0</v>
      </c>
      <c r="Q238" s="5">
        <f>MAX(0,I238*'Pesos GPS'!F$13+J238*'Pesos GPS'!F$14+K238*'Pesos GPS'!F$15+L238*'Pesos GPS'!F$16+'Pesos GPS'!F$17)</f>
        <v>0</v>
      </c>
      <c r="R238" s="5">
        <f>MAX(0,I238*'Pesos GPS'!G$13+J238*'Pesos GPS'!G$14+K238*'Pesos GPS'!G$15+L238*'Pesos GPS'!G$16+'Pesos GPS'!G$17)</f>
        <v>0</v>
      </c>
      <c r="S238" s="5">
        <f>MAX(0,I238*'Pesos GPS'!H$13+J238*'Pesos GPS'!H$14+K238*'Pesos GPS'!H$15+L238*'Pesos GPS'!H$16+'Pesos GPS'!H$17)</f>
        <v>0</v>
      </c>
      <c r="T238" s="5">
        <f>MAX(0,I238*'Pesos GPS'!I$13+J238*'Pesos GPS'!I$14+K238*'Pesos GPS'!I$15+L238*'Pesos GPS'!I$16+'Pesos GPS'!I$17)</f>
        <v>0</v>
      </c>
      <c r="U238" s="5">
        <f>M238*'Pesos GPS'!$B$22+N238*'Pesos GPS'!$B$23+O238*'Pesos GPS'!$B$24+P238*'Pesos GPS'!$B$25+Q238*'Pesos GPS'!$B$26+R238*'Pesos GPS'!$B$27+S238*'Pesos GPS'!$B$28+T238*'Pesos GPS'!$B$29+'Pesos GPS'!$B$30</f>
        <v>2.37807146</v>
      </c>
      <c r="V238" s="5">
        <f t="shared" si="1"/>
        <v>0.9151397857</v>
      </c>
      <c r="W238" s="3">
        <f t="shared" si="2"/>
        <v>1</v>
      </c>
      <c r="X238" s="3">
        <f t="shared" si="3"/>
        <v>1</v>
      </c>
      <c r="Y238" s="9">
        <f t="shared" si="4"/>
        <v>0</v>
      </c>
      <c r="Z238" s="9">
        <v>0.9151397857284129</v>
      </c>
      <c r="AA238" s="3" t="str">
        <f t="shared" si="5"/>
        <v>OK</v>
      </c>
    </row>
    <row r="239" ht="15.75" customHeight="1">
      <c r="A239" s="3">
        <v>238.0</v>
      </c>
      <c r="B239" s="3" t="s">
        <v>20</v>
      </c>
      <c r="C239" s="7">
        <v>35.689305</v>
      </c>
      <c r="D239" s="7">
        <v>139.690473</v>
      </c>
      <c r="E239" s="3">
        <v>1.0</v>
      </c>
      <c r="F239" s="3" t="s">
        <v>55</v>
      </c>
      <c r="G239" s="5">
        <f>(C239-'Pesos GPS'!$L$4)/'Pesos GPS'!$L$5</f>
        <v>-0.9950198508</v>
      </c>
      <c r="H239" s="5">
        <f>(D239-'Pesos GPS'!$L$6)/'Pesos GPS'!$L$7</f>
        <v>1.000391926</v>
      </c>
      <c r="I239" s="5">
        <f>MAX(0,G239*'Pesos GPS'!B$6+H239*'Pesos GPS'!B$7+'Pesos GPS'!B$8)</f>
        <v>0</v>
      </c>
      <c r="J239" s="5">
        <f>MAX(0,G239*'Pesos GPS'!C$6+H239*'Pesos GPS'!C$7+'Pesos GPS'!C$8)</f>
        <v>0</v>
      </c>
      <c r="K239" s="5">
        <f>MAX(0,G239*'Pesos GPS'!D$6+H239*'Pesos GPS'!D$7+'Pesos GPS'!D$8)</f>
        <v>0</v>
      </c>
      <c r="L239" s="5">
        <f>MAX(0,G239*'Pesos GPS'!E$6+H239*'Pesos GPS'!E$7+'Pesos GPS'!E$8)</f>
        <v>0</v>
      </c>
      <c r="M239" s="5">
        <f>MAX(0,I239*'Pesos GPS'!B$13+J239*'Pesos GPS'!B$14+K239*'Pesos GPS'!B$15+L239*'Pesos GPS'!B$16+'Pesos GPS'!B$17)</f>
        <v>0</v>
      </c>
      <c r="N239" s="5">
        <f>MAX(0,I239*'Pesos GPS'!C$13+J239*'Pesos GPS'!C$14+K239*'Pesos GPS'!C$15+L239*'Pesos GPS'!C$16+'Pesos GPS'!C$17)</f>
        <v>0</v>
      </c>
      <c r="O239" s="5">
        <f>MAX(0,I239*'Pesos GPS'!D$13+J239*'Pesos GPS'!D$14+K239*'Pesos GPS'!D$15+L239*'Pesos GPS'!D$16+'Pesos GPS'!D$17)</f>
        <v>0</v>
      </c>
      <c r="P239" s="5">
        <f>MAX(0,I239*'Pesos GPS'!E$13+J239*'Pesos GPS'!E$14+K239*'Pesos GPS'!E$15+L239*'Pesos GPS'!E$16+'Pesos GPS'!E$17)</f>
        <v>0</v>
      </c>
      <c r="Q239" s="5">
        <f>MAX(0,I239*'Pesos GPS'!F$13+J239*'Pesos GPS'!F$14+K239*'Pesos GPS'!F$15+L239*'Pesos GPS'!F$16+'Pesos GPS'!F$17)</f>
        <v>0</v>
      </c>
      <c r="R239" s="5">
        <f>MAX(0,I239*'Pesos GPS'!G$13+J239*'Pesos GPS'!G$14+K239*'Pesos GPS'!G$15+L239*'Pesos GPS'!G$16+'Pesos GPS'!G$17)</f>
        <v>0</v>
      </c>
      <c r="S239" s="5">
        <f>MAX(0,I239*'Pesos GPS'!H$13+J239*'Pesos GPS'!H$14+K239*'Pesos GPS'!H$15+L239*'Pesos GPS'!H$16+'Pesos GPS'!H$17)</f>
        <v>0</v>
      </c>
      <c r="T239" s="5">
        <f>MAX(0,I239*'Pesos GPS'!I$13+J239*'Pesos GPS'!I$14+K239*'Pesos GPS'!I$15+L239*'Pesos GPS'!I$16+'Pesos GPS'!I$17)</f>
        <v>0</v>
      </c>
      <c r="U239" s="5">
        <f>M239*'Pesos GPS'!$B$22+N239*'Pesos GPS'!$B$23+O239*'Pesos GPS'!$B$24+P239*'Pesos GPS'!$B$25+Q239*'Pesos GPS'!$B$26+R239*'Pesos GPS'!$B$27+S239*'Pesos GPS'!$B$28+T239*'Pesos GPS'!$B$29+'Pesos GPS'!$B$30</f>
        <v>2.37807146</v>
      </c>
      <c r="V239" s="5">
        <f t="shared" si="1"/>
        <v>0.9151397857</v>
      </c>
      <c r="W239" s="3">
        <f t="shared" si="2"/>
        <v>1</v>
      </c>
      <c r="X239" s="3">
        <f t="shared" si="3"/>
        <v>1</v>
      </c>
      <c r="Y239" s="9">
        <f t="shared" si="4"/>
        <v>0</v>
      </c>
      <c r="Z239" s="9">
        <v>0.9151397857284129</v>
      </c>
      <c r="AA239" s="3" t="str">
        <f t="shared" si="5"/>
        <v>OK</v>
      </c>
    </row>
    <row r="240" ht="15.75" customHeight="1">
      <c r="A240" s="3">
        <v>239.0</v>
      </c>
      <c r="B240" s="3" t="s">
        <v>20</v>
      </c>
      <c r="C240" s="7">
        <v>35.683107</v>
      </c>
      <c r="D240" s="7">
        <v>139.566501</v>
      </c>
      <c r="E240" s="3">
        <v>1.0</v>
      </c>
      <c r="F240" s="3" t="s">
        <v>55</v>
      </c>
      <c r="G240" s="5">
        <f>(C240-'Pesos GPS'!$L$4)/'Pesos GPS'!$L$5</f>
        <v>-0.9974817156</v>
      </c>
      <c r="H240" s="5">
        <f>(D240-'Pesos GPS'!$L$6)/'Pesos GPS'!$L$7</f>
        <v>0.9992314406</v>
      </c>
      <c r="I240" s="5">
        <f>MAX(0,G240*'Pesos GPS'!B$6+H240*'Pesos GPS'!B$7+'Pesos GPS'!B$8)</f>
        <v>0</v>
      </c>
      <c r="J240" s="5">
        <f>MAX(0,G240*'Pesos GPS'!C$6+H240*'Pesos GPS'!C$7+'Pesos GPS'!C$8)</f>
        <v>0</v>
      </c>
      <c r="K240" s="5">
        <f>MAX(0,G240*'Pesos GPS'!D$6+H240*'Pesos GPS'!D$7+'Pesos GPS'!D$8)</f>
        <v>0</v>
      </c>
      <c r="L240" s="5">
        <f>MAX(0,G240*'Pesos GPS'!E$6+H240*'Pesos GPS'!E$7+'Pesos GPS'!E$8)</f>
        <v>0</v>
      </c>
      <c r="M240" s="5">
        <f>MAX(0,I240*'Pesos GPS'!B$13+J240*'Pesos GPS'!B$14+K240*'Pesos GPS'!B$15+L240*'Pesos GPS'!B$16+'Pesos GPS'!B$17)</f>
        <v>0</v>
      </c>
      <c r="N240" s="5">
        <f>MAX(0,I240*'Pesos GPS'!C$13+J240*'Pesos GPS'!C$14+K240*'Pesos GPS'!C$15+L240*'Pesos GPS'!C$16+'Pesos GPS'!C$17)</f>
        <v>0</v>
      </c>
      <c r="O240" s="5">
        <f>MAX(0,I240*'Pesos GPS'!D$13+J240*'Pesos GPS'!D$14+K240*'Pesos GPS'!D$15+L240*'Pesos GPS'!D$16+'Pesos GPS'!D$17)</f>
        <v>0</v>
      </c>
      <c r="P240" s="5">
        <f>MAX(0,I240*'Pesos GPS'!E$13+J240*'Pesos GPS'!E$14+K240*'Pesos GPS'!E$15+L240*'Pesos GPS'!E$16+'Pesos GPS'!E$17)</f>
        <v>0</v>
      </c>
      <c r="Q240" s="5">
        <f>MAX(0,I240*'Pesos GPS'!F$13+J240*'Pesos GPS'!F$14+K240*'Pesos GPS'!F$15+L240*'Pesos GPS'!F$16+'Pesos GPS'!F$17)</f>
        <v>0</v>
      </c>
      <c r="R240" s="5">
        <f>MAX(0,I240*'Pesos GPS'!G$13+J240*'Pesos GPS'!G$14+K240*'Pesos GPS'!G$15+L240*'Pesos GPS'!G$16+'Pesos GPS'!G$17)</f>
        <v>0</v>
      </c>
      <c r="S240" s="5">
        <f>MAX(0,I240*'Pesos GPS'!H$13+J240*'Pesos GPS'!H$14+K240*'Pesos GPS'!H$15+L240*'Pesos GPS'!H$16+'Pesos GPS'!H$17)</f>
        <v>0</v>
      </c>
      <c r="T240" s="5">
        <f>MAX(0,I240*'Pesos GPS'!I$13+J240*'Pesos GPS'!I$14+K240*'Pesos GPS'!I$15+L240*'Pesos GPS'!I$16+'Pesos GPS'!I$17)</f>
        <v>0</v>
      </c>
      <c r="U240" s="5">
        <f>M240*'Pesos GPS'!$B$22+N240*'Pesos GPS'!$B$23+O240*'Pesos GPS'!$B$24+P240*'Pesos GPS'!$B$25+Q240*'Pesos GPS'!$B$26+R240*'Pesos GPS'!$B$27+S240*'Pesos GPS'!$B$28+T240*'Pesos GPS'!$B$29+'Pesos GPS'!$B$30</f>
        <v>2.37807146</v>
      </c>
      <c r="V240" s="5">
        <f t="shared" si="1"/>
        <v>0.9151397857</v>
      </c>
      <c r="W240" s="3">
        <f t="shared" si="2"/>
        <v>1</v>
      </c>
      <c r="X240" s="3">
        <f t="shared" si="3"/>
        <v>1</v>
      </c>
      <c r="Y240" s="9">
        <f t="shared" si="4"/>
        <v>0</v>
      </c>
      <c r="Z240" s="9">
        <v>0.9151397857284129</v>
      </c>
      <c r="AA240" s="3" t="str">
        <f t="shared" si="5"/>
        <v>OK</v>
      </c>
    </row>
    <row r="241" ht="15.75" customHeight="1">
      <c r="A241" s="3">
        <v>240.0</v>
      </c>
      <c r="B241" s="3" t="s">
        <v>20</v>
      </c>
      <c r="C241" s="7">
        <v>35.640881</v>
      </c>
      <c r="D241" s="7">
        <v>139.62277</v>
      </c>
      <c r="E241" s="3">
        <v>1.0</v>
      </c>
      <c r="F241" s="3" t="s">
        <v>55</v>
      </c>
      <c r="G241" s="5">
        <f>(C241-'Pesos GPS'!$L$4)/'Pesos GPS'!$L$5</f>
        <v>-1.014254014</v>
      </c>
      <c r="H241" s="5">
        <f>(D241-'Pesos GPS'!$L$6)/'Pesos GPS'!$L$7</f>
        <v>0.9997581673</v>
      </c>
      <c r="I241" s="5">
        <f>MAX(0,G241*'Pesos GPS'!B$6+H241*'Pesos GPS'!B$7+'Pesos GPS'!B$8)</f>
        <v>0</v>
      </c>
      <c r="J241" s="5">
        <f>MAX(0,G241*'Pesos GPS'!C$6+H241*'Pesos GPS'!C$7+'Pesos GPS'!C$8)</f>
        <v>0</v>
      </c>
      <c r="K241" s="5">
        <f>MAX(0,G241*'Pesos GPS'!D$6+H241*'Pesos GPS'!D$7+'Pesos GPS'!D$8)</f>
        <v>0</v>
      </c>
      <c r="L241" s="5">
        <f>MAX(0,G241*'Pesos GPS'!E$6+H241*'Pesos GPS'!E$7+'Pesos GPS'!E$8)</f>
        <v>0</v>
      </c>
      <c r="M241" s="5">
        <f>MAX(0,I241*'Pesos GPS'!B$13+J241*'Pesos GPS'!B$14+K241*'Pesos GPS'!B$15+L241*'Pesos GPS'!B$16+'Pesos GPS'!B$17)</f>
        <v>0</v>
      </c>
      <c r="N241" s="5">
        <f>MAX(0,I241*'Pesos GPS'!C$13+J241*'Pesos GPS'!C$14+K241*'Pesos GPS'!C$15+L241*'Pesos GPS'!C$16+'Pesos GPS'!C$17)</f>
        <v>0</v>
      </c>
      <c r="O241" s="5">
        <f>MAX(0,I241*'Pesos GPS'!D$13+J241*'Pesos GPS'!D$14+K241*'Pesos GPS'!D$15+L241*'Pesos GPS'!D$16+'Pesos GPS'!D$17)</f>
        <v>0</v>
      </c>
      <c r="P241" s="5">
        <f>MAX(0,I241*'Pesos GPS'!E$13+J241*'Pesos GPS'!E$14+K241*'Pesos GPS'!E$15+L241*'Pesos GPS'!E$16+'Pesos GPS'!E$17)</f>
        <v>0</v>
      </c>
      <c r="Q241" s="5">
        <f>MAX(0,I241*'Pesos GPS'!F$13+J241*'Pesos GPS'!F$14+K241*'Pesos GPS'!F$15+L241*'Pesos GPS'!F$16+'Pesos GPS'!F$17)</f>
        <v>0</v>
      </c>
      <c r="R241" s="5">
        <f>MAX(0,I241*'Pesos GPS'!G$13+J241*'Pesos GPS'!G$14+K241*'Pesos GPS'!G$15+L241*'Pesos GPS'!G$16+'Pesos GPS'!G$17)</f>
        <v>0</v>
      </c>
      <c r="S241" s="5">
        <f>MAX(0,I241*'Pesos GPS'!H$13+J241*'Pesos GPS'!H$14+K241*'Pesos GPS'!H$15+L241*'Pesos GPS'!H$16+'Pesos GPS'!H$17)</f>
        <v>0</v>
      </c>
      <c r="T241" s="5">
        <f>MAX(0,I241*'Pesos GPS'!I$13+J241*'Pesos GPS'!I$14+K241*'Pesos GPS'!I$15+L241*'Pesos GPS'!I$16+'Pesos GPS'!I$17)</f>
        <v>0</v>
      </c>
      <c r="U241" s="5">
        <f>M241*'Pesos GPS'!$B$22+N241*'Pesos GPS'!$B$23+O241*'Pesos GPS'!$B$24+P241*'Pesos GPS'!$B$25+Q241*'Pesos GPS'!$B$26+R241*'Pesos GPS'!$B$27+S241*'Pesos GPS'!$B$28+T241*'Pesos GPS'!$B$29+'Pesos GPS'!$B$30</f>
        <v>2.37807146</v>
      </c>
      <c r="V241" s="5">
        <f t="shared" si="1"/>
        <v>0.9151397857</v>
      </c>
      <c r="W241" s="3">
        <f t="shared" si="2"/>
        <v>1</v>
      </c>
      <c r="X241" s="3">
        <f t="shared" si="3"/>
        <v>1</v>
      </c>
      <c r="Y241" s="9">
        <f t="shared" si="4"/>
        <v>0</v>
      </c>
      <c r="Z241" s="9">
        <v>0.9151397857284129</v>
      </c>
      <c r="AA241" s="3" t="str">
        <f t="shared" si="5"/>
        <v>OK</v>
      </c>
    </row>
    <row r="242" ht="15.75" customHeight="1">
      <c r="A242" s="3">
        <v>241.0</v>
      </c>
      <c r="B242" s="3" t="s">
        <v>20</v>
      </c>
      <c r="C242" s="7">
        <v>35.618447</v>
      </c>
      <c r="D242" s="7">
        <v>139.591274</v>
      </c>
      <c r="E242" s="3">
        <v>1.0</v>
      </c>
      <c r="F242" s="3" t="s">
        <v>55</v>
      </c>
      <c r="G242" s="5">
        <f>(C242-'Pesos GPS'!$L$4)/'Pesos GPS'!$L$5</f>
        <v>-1.023164869</v>
      </c>
      <c r="H242" s="5">
        <f>(D242-'Pesos GPS'!$L$6)/'Pesos GPS'!$L$7</f>
        <v>0.9994633374</v>
      </c>
      <c r="I242" s="5">
        <f>MAX(0,G242*'Pesos GPS'!B$6+H242*'Pesos GPS'!B$7+'Pesos GPS'!B$8)</f>
        <v>0</v>
      </c>
      <c r="J242" s="5">
        <f>MAX(0,G242*'Pesos GPS'!C$6+H242*'Pesos GPS'!C$7+'Pesos GPS'!C$8)</f>
        <v>0</v>
      </c>
      <c r="K242" s="5">
        <f>MAX(0,G242*'Pesos GPS'!D$6+H242*'Pesos GPS'!D$7+'Pesos GPS'!D$8)</f>
        <v>0</v>
      </c>
      <c r="L242" s="5">
        <f>MAX(0,G242*'Pesos GPS'!E$6+H242*'Pesos GPS'!E$7+'Pesos GPS'!E$8)</f>
        <v>0</v>
      </c>
      <c r="M242" s="5">
        <f>MAX(0,I242*'Pesos GPS'!B$13+J242*'Pesos GPS'!B$14+K242*'Pesos GPS'!B$15+L242*'Pesos GPS'!B$16+'Pesos GPS'!B$17)</f>
        <v>0</v>
      </c>
      <c r="N242" s="5">
        <f>MAX(0,I242*'Pesos GPS'!C$13+J242*'Pesos GPS'!C$14+K242*'Pesos GPS'!C$15+L242*'Pesos GPS'!C$16+'Pesos GPS'!C$17)</f>
        <v>0</v>
      </c>
      <c r="O242" s="5">
        <f>MAX(0,I242*'Pesos GPS'!D$13+J242*'Pesos GPS'!D$14+K242*'Pesos GPS'!D$15+L242*'Pesos GPS'!D$16+'Pesos GPS'!D$17)</f>
        <v>0</v>
      </c>
      <c r="P242" s="5">
        <f>MAX(0,I242*'Pesos GPS'!E$13+J242*'Pesos GPS'!E$14+K242*'Pesos GPS'!E$15+L242*'Pesos GPS'!E$16+'Pesos GPS'!E$17)</f>
        <v>0</v>
      </c>
      <c r="Q242" s="5">
        <f>MAX(0,I242*'Pesos GPS'!F$13+J242*'Pesos GPS'!F$14+K242*'Pesos GPS'!F$15+L242*'Pesos GPS'!F$16+'Pesos GPS'!F$17)</f>
        <v>0</v>
      </c>
      <c r="R242" s="5">
        <f>MAX(0,I242*'Pesos GPS'!G$13+J242*'Pesos GPS'!G$14+K242*'Pesos GPS'!G$15+L242*'Pesos GPS'!G$16+'Pesos GPS'!G$17)</f>
        <v>0</v>
      </c>
      <c r="S242" s="5">
        <f>MAX(0,I242*'Pesos GPS'!H$13+J242*'Pesos GPS'!H$14+K242*'Pesos GPS'!H$15+L242*'Pesos GPS'!H$16+'Pesos GPS'!H$17)</f>
        <v>0</v>
      </c>
      <c r="T242" s="5">
        <f>MAX(0,I242*'Pesos GPS'!I$13+J242*'Pesos GPS'!I$14+K242*'Pesos GPS'!I$15+L242*'Pesos GPS'!I$16+'Pesos GPS'!I$17)</f>
        <v>0</v>
      </c>
      <c r="U242" s="5">
        <f>M242*'Pesos GPS'!$B$22+N242*'Pesos GPS'!$B$23+O242*'Pesos GPS'!$B$24+P242*'Pesos GPS'!$B$25+Q242*'Pesos GPS'!$B$26+R242*'Pesos GPS'!$B$27+S242*'Pesos GPS'!$B$28+T242*'Pesos GPS'!$B$29+'Pesos GPS'!$B$30</f>
        <v>2.37807146</v>
      </c>
      <c r="V242" s="5">
        <f t="shared" si="1"/>
        <v>0.9151397857</v>
      </c>
      <c r="W242" s="3">
        <f t="shared" si="2"/>
        <v>1</v>
      </c>
      <c r="X242" s="3">
        <f t="shared" si="3"/>
        <v>1</v>
      </c>
      <c r="Y242" s="9">
        <f t="shared" si="4"/>
        <v>0</v>
      </c>
      <c r="Z242" s="9">
        <v>0.9151397857284129</v>
      </c>
      <c r="AA242" s="3" t="str">
        <f t="shared" si="5"/>
        <v>OK</v>
      </c>
    </row>
    <row r="243" ht="15.75" customHeight="1">
      <c r="A243" s="3">
        <v>242.0</v>
      </c>
      <c r="B243" s="3" t="s">
        <v>20</v>
      </c>
      <c r="C243" s="7">
        <v>35.677559</v>
      </c>
      <c r="D243" s="7">
        <v>139.621382</v>
      </c>
      <c r="E243" s="3">
        <v>1.0</v>
      </c>
      <c r="F243" s="3" t="s">
        <v>55</v>
      </c>
      <c r="G243" s="5">
        <f>(C243-'Pesos GPS'!$L$4)/'Pesos GPS'!$L$5</f>
        <v>-0.9996853985</v>
      </c>
      <c r="H243" s="5">
        <f>(D243-'Pesos GPS'!$L$6)/'Pesos GPS'!$L$7</f>
        <v>0.9997451744</v>
      </c>
      <c r="I243" s="5">
        <f>MAX(0,G243*'Pesos GPS'!B$6+H243*'Pesos GPS'!B$7+'Pesos GPS'!B$8)</f>
        <v>0</v>
      </c>
      <c r="J243" s="5">
        <f>MAX(0,G243*'Pesos GPS'!C$6+H243*'Pesos GPS'!C$7+'Pesos GPS'!C$8)</f>
        <v>0</v>
      </c>
      <c r="K243" s="5">
        <f>MAX(0,G243*'Pesos GPS'!D$6+H243*'Pesos GPS'!D$7+'Pesos GPS'!D$8)</f>
        <v>0</v>
      </c>
      <c r="L243" s="5">
        <f>MAX(0,G243*'Pesos GPS'!E$6+H243*'Pesos GPS'!E$7+'Pesos GPS'!E$8)</f>
        <v>0</v>
      </c>
      <c r="M243" s="5">
        <f>MAX(0,I243*'Pesos GPS'!B$13+J243*'Pesos GPS'!B$14+K243*'Pesos GPS'!B$15+L243*'Pesos GPS'!B$16+'Pesos GPS'!B$17)</f>
        <v>0</v>
      </c>
      <c r="N243" s="5">
        <f>MAX(0,I243*'Pesos GPS'!C$13+J243*'Pesos GPS'!C$14+K243*'Pesos GPS'!C$15+L243*'Pesos GPS'!C$16+'Pesos GPS'!C$17)</f>
        <v>0</v>
      </c>
      <c r="O243" s="5">
        <f>MAX(0,I243*'Pesos GPS'!D$13+J243*'Pesos GPS'!D$14+K243*'Pesos GPS'!D$15+L243*'Pesos GPS'!D$16+'Pesos GPS'!D$17)</f>
        <v>0</v>
      </c>
      <c r="P243" s="5">
        <f>MAX(0,I243*'Pesos GPS'!E$13+J243*'Pesos GPS'!E$14+K243*'Pesos GPS'!E$15+L243*'Pesos GPS'!E$16+'Pesos GPS'!E$17)</f>
        <v>0</v>
      </c>
      <c r="Q243" s="5">
        <f>MAX(0,I243*'Pesos GPS'!F$13+J243*'Pesos GPS'!F$14+K243*'Pesos GPS'!F$15+L243*'Pesos GPS'!F$16+'Pesos GPS'!F$17)</f>
        <v>0</v>
      </c>
      <c r="R243" s="5">
        <f>MAX(0,I243*'Pesos GPS'!G$13+J243*'Pesos GPS'!G$14+K243*'Pesos GPS'!G$15+L243*'Pesos GPS'!G$16+'Pesos GPS'!G$17)</f>
        <v>0</v>
      </c>
      <c r="S243" s="5">
        <f>MAX(0,I243*'Pesos GPS'!H$13+J243*'Pesos GPS'!H$14+K243*'Pesos GPS'!H$15+L243*'Pesos GPS'!H$16+'Pesos GPS'!H$17)</f>
        <v>0</v>
      </c>
      <c r="T243" s="5">
        <f>MAX(0,I243*'Pesos GPS'!I$13+J243*'Pesos GPS'!I$14+K243*'Pesos GPS'!I$15+L243*'Pesos GPS'!I$16+'Pesos GPS'!I$17)</f>
        <v>0</v>
      </c>
      <c r="U243" s="5">
        <f>M243*'Pesos GPS'!$B$22+N243*'Pesos GPS'!$B$23+O243*'Pesos GPS'!$B$24+P243*'Pesos GPS'!$B$25+Q243*'Pesos GPS'!$B$26+R243*'Pesos GPS'!$B$27+S243*'Pesos GPS'!$B$28+T243*'Pesos GPS'!$B$29+'Pesos GPS'!$B$30</f>
        <v>2.37807146</v>
      </c>
      <c r="V243" s="5">
        <f t="shared" si="1"/>
        <v>0.9151397857</v>
      </c>
      <c r="W243" s="3">
        <f t="shared" si="2"/>
        <v>1</v>
      </c>
      <c r="X243" s="3">
        <f t="shared" si="3"/>
        <v>1</v>
      </c>
      <c r="Y243" s="9">
        <f t="shared" si="4"/>
        <v>0</v>
      </c>
      <c r="Z243" s="9">
        <v>0.9151397857284129</v>
      </c>
      <c r="AA243" s="3" t="str">
        <f t="shared" si="5"/>
        <v>OK</v>
      </c>
    </row>
    <row r="244" ht="15.75" customHeight="1">
      <c r="A244" s="3">
        <v>243.0</v>
      </c>
      <c r="B244" s="3" t="s">
        <v>20</v>
      </c>
      <c r="C244" s="7">
        <v>35.664406</v>
      </c>
      <c r="D244" s="7">
        <v>139.658968</v>
      </c>
      <c r="E244" s="3">
        <v>1.0</v>
      </c>
      <c r="F244" s="3" t="s">
        <v>55</v>
      </c>
      <c r="G244" s="5">
        <f>(C244-'Pesos GPS'!$L$4)/'Pesos GPS'!$L$5</f>
        <v>-1.004909811</v>
      </c>
      <c r="H244" s="5">
        <f>(D244-'Pesos GPS'!$L$6)/'Pesos GPS'!$L$7</f>
        <v>1.000097012</v>
      </c>
      <c r="I244" s="5">
        <f>MAX(0,G244*'Pesos GPS'!B$6+H244*'Pesos GPS'!B$7+'Pesos GPS'!B$8)</f>
        <v>0</v>
      </c>
      <c r="J244" s="5">
        <f>MAX(0,G244*'Pesos GPS'!C$6+H244*'Pesos GPS'!C$7+'Pesos GPS'!C$8)</f>
        <v>0</v>
      </c>
      <c r="K244" s="5">
        <f>MAX(0,G244*'Pesos GPS'!D$6+H244*'Pesos GPS'!D$7+'Pesos GPS'!D$8)</f>
        <v>0</v>
      </c>
      <c r="L244" s="5">
        <f>MAX(0,G244*'Pesos GPS'!E$6+H244*'Pesos GPS'!E$7+'Pesos GPS'!E$8)</f>
        <v>0</v>
      </c>
      <c r="M244" s="5">
        <f>MAX(0,I244*'Pesos GPS'!B$13+J244*'Pesos GPS'!B$14+K244*'Pesos GPS'!B$15+L244*'Pesos GPS'!B$16+'Pesos GPS'!B$17)</f>
        <v>0</v>
      </c>
      <c r="N244" s="5">
        <f>MAX(0,I244*'Pesos GPS'!C$13+J244*'Pesos GPS'!C$14+K244*'Pesos GPS'!C$15+L244*'Pesos GPS'!C$16+'Pesos GPS'!C$17)</f>
        <v>0</v>
      </c>
      <c r="O244" s="5">
        <f>MAX(0,I244*'Pesos GPS'!D$13+J244*'Pesos GPS'!D$14+K244*'Pesos GPS'!D$15+L244*'Pesos GPS'!D$16+'Pesos GPS'!D$17)</f>
        <v>0</v>
      </c>
      <c r="P244" s="5">
        <f>MAX(0,I244*'Pesos GPS'!E$13+J244*'Pesos GPS'!E$14+K244*'Pesos GPS'!E$15+L244*'Pesos GPS'!E$16+'Pesos GPS'!E$17)</f>
        <v>0</v>
      </c>
      <c r="Q244" s="5">
        <f>MAX(0,I244*'Pesos GPS'!F$13+J244*'Pesos GPS'!F$14+K244*'Pesos GPS'!F$15+L244*'Pesos GPS'!F$16+'Pesos GPS'!F$17)</f>
        <v>0</v>
      </c>
      <c r="R244" s="5">
        <f>MAX(0,I244*'Pesos GPS'!G$13+J244*'Pesos GPS'!G$14+K244*'Pesos GPS'!G$15+L244*'Pesos GPS'!G$16+'Pesos GPS'!G$17)</f>
        <v>0</v>
      </c>
      <c r="S244" s="5">
        <f>MAX(0,I244*'Pesos GPS'!H$13+J244*'Pesos GPS'!H$14+K244*'Pesos GPS'!H$15+L244*'Pesos GPS'!H$16+'Pesos GPS'!H$17)</f>
        <v>0</v>
      </c>
      <c r="T244" s="5">
        <f>MAX(0,I244*'Pesos GPS'!I$13+J244*'Pesos GPS'!I$14+K244*'Pesos GPS'!I$15+L244*'Pesos GPS'!I$16+'Pesos GPS'!I$17)</f>
        <v>0</v>
      </c>
      <c r="U244" s="5">
        <f>M244*'Pesos GPS'!$B$22+N244*'Pesos GPS'!$B$23+O244*'Pesos GPS'!$B$24+P244*'Pesos GPS'!$B$25+Q244*'Pesos GPS'!$B$26+R244*'Pesos GPS'!$B$27+S244*'Pesos GPS'!$B$28+T244*'Pesos GPS'!$B$29+'Pesos GPS'!$B$30</f>
        <v>2.37807146</v>
      </c>
      <c r="V244" s="5">
        <f t="shared" si="1"/>
        <v>0.9151397857</v>
      </c>
      <c r="W244" s="3">
        <f t="shared" si="2"/>
        <v>1</v>
      </c>
      <c r="X244" s="3">
        <f t="shared" si="3"/>
        <v>1</v>
      </c>
      <c r="Y244" s="9">
        <f t="shared" si="4"/>
        <v>0</v>
      </c>
      <c r="Z244" s="9">
        <v>0.9151397857284129</v>
      </c>
      <c r="AA244" s="3" t="str">
        <f t="shared" si="5"/>
        <v>OK</v>
      </c>
    </row>
    <row r="245" ht="15.75" customHeight="1">
      <c r="A245" s="3">
        <v>244.0</v>
      </c>
      <c r="B245" s="3" t="s">
        <v>20</v>
      </c>
      <c r="C245" s="7">
        <v>35.687685</v>
      </c>
      <c r="D245" s="7">
        <v>139.644027</v>
      </c>
      <c r="E245" s="3">
        <v>1.0</v>
      </c>
      <c r="F245" s="3" t="s">
        <v>55</v>
      </c>
      <c r="G245" s="5">
        <f>(C245-'Pesos GPS'!$L$4)/'Pesos GPS'!$L$5</f>
        <v>-0.9956633198</v>
      </c>
      <c r="H245" s="5">
        <f>(D245-'Pesos GPS'!$L$6)/'Pesos GPS'!$L$7</f>
        <v>0.9999571512</v>
      </c>
      <c r="I245" s="5">
        <f>MAX(0,G245*'Pesos GPS'!B$6+H245*'Pesos GPS'!B$7+'Pesos GPS'!B$8)</f>
        <v>0</v>
      </c>
      <c r="J245" s="5">
        <f>MAX(0,G245*'Pesos GPS'!C$6+H245*'Pesos GPS'!C$7+'Pesos GPS'!C$8)</f>
        <v>0</v>
      </c>
      <c r="K245" s="5">
        <f>MAX(0,G245*'Pesos GPS'!D$6+H245*'Pesos GPS'!D$7+'Pesos GPS'!D$8)</f>
        <v>0</v>
      </c>
      <c r="L245" s="5">
        <f>MAX(0,G245*'Pesos GPS'!E$6+H245*'Pesos GPS'!E$7+'Pesos GPS'!E$8)</f>
        <v>0</v>
      </c>
      <c r="M245" s="5">
        <f>MAX(0,I245*'Pesos GPS'!B$13+J245*'Pesos GPS'!B$14+K245*'Pesos GPS'!B$15+L245*'Pesos GPS'!B$16+'Pesos GPS'!B$17)</f>
        <v>0</v>
      </c>
      <c r="N245" s="5">
        <f>MAX(0,I245*'Pesos GPS'!C$13+J245*'Pesos GPS'!C$14+K245*'Pesos GPS'!C$15+L245*'Pesos GPS'!C$16+'Pesos GPS'!C$17)</f>
        <v>0</v>
      </c>
      <c r="O245" s="5">
        <f>MAX(0,I245*'Pesos GPS'!D$13+J245*'Pesos GPS'!D$14+K245*'Pesos GPS'!D$15+L245*'Pesos GPS'!D$16+'Pesos GPS'!D$17)</f>
        <v>0</v>
      </c>
      <c r="P245" s="5">
        <f>MAX(0,I245*'Pesos GPS'!E$13+J245*'Pesos GPS'!E$14+K245*'Pesos GPS'!E$15+L245*'Pesos GPS'!E$16+'Pesos GPS'!E$17)</f>
        <v>0</v>
      </c>
      <c r="Q245" s="5">
        <f>MAX(0,I245*'Pesos GPS'!F$13+J245*'Pesos GPS'!F$14+K245*'Pesos GPS'!F$15+L245*'Pesos GPS'!F$16+'Pesos GPS'!F$17)</f>
        <v>0</v>
      </c>
      <c r="R245" s="5">
        <f>MAX(0,I245*'Pesos GPS'!G$13+J245*'Pesos GPS'!G$14+K245*'Pesos GPS'!G$15+L245*'Pesos GPS'!G$16+'Pesos GPS'!G$17)</f>
        <v>0</v>
      </c>
      <c r="S245" s="5">
        <f>MAX(0,I245*'Pesos GPS'!H$13+J245*'Pesos GPS'!H$14+K245*'Pesos GPS'!H$15+L245*'Pesos GPS'!H$16+'Pesos GPS'!H$17)</f>
        <v>0</v>
      </c>
      <c r="T245" s="5">
        <f>MAX(0,I245*'Pesos GPS'!I$13+J245*'Pesos GPS'!I$14+K245*'Pesos GPS'!I$15+L245*'Pesos GPS'!I$16+'Pesos GPS'!I$17)</f>
        <v>0</v>
      </c>
      <c r="U245" s="5">
        <f>M245*'Pesos GPS'!$B$22+N245*'Pesos GPS'!$B$23+O245*'Pesos GPS'!$B$24+P245*'Pesos GPS'!$B$25+Q245*'Pesos GPS'!$B$26+R245*'Pesos GPS'!$B$27+S245*'Pesos GPS'!$B$28+T245*'Pesos GPS'!$B$29+'Pesos GPS'!$B$30</f>
        <v>2.37807146</v>
      </c>
      <c r="V245" s="5">
        <f t="shared" si="1"/>
        <v>0.9151397857</v>
      </c>
      <c r="W245" s="3">
        <f t="shared" si="2"/>
        <v>1</v>
      </c>
      <c r="X245" s="3">
        <f t="shared" si="3"/>
        <v>1</v>
      </c>
      <c r="Y245" s="9">
        <f t="shared" si="4"/>
        <v>0</v>
      </c>
      <c r="Z245" s="9">
        <v>0.9151397857284129</v>
      </c>
      <c r="AA245" s="3" t="str">
        <f t="shared" si="5"/>
        <v>OK</v>
      </c>
    </row>
    <row r="246" ht="15.75" customHeight="1">
      <c r="A246" s="3">
        <v>245.0</v>
      </c>
      <c r="B246" s="3" t="s">
        <v>20</v>
      </c>
      <c r="C246" s="7">
        <v>35.693749</v>
      </c>
      <c r="D246" s="7">
        <v>139.641432</v>
      </c>
      <c r="E246" s="3">
        <v>1.0</v>
      </c>
      <c r="F246" s="3" t="s">
        <v>55</v>
      </c>
      <c r="G246" s="5">
        <f>(C246-'Pesos GPS'!$L$4)/'Pesos GPS'!$L$5</f>
        <v>-0.9932546801</v>
      </c>
      <c r="H246" s="5">
        <f>(D246-'Pesos GPS'!$L$6)/'Pesos GPS'!$L$7</f>
        <v>0.9999328598</v>
      </c>
      <c r="I246" s="5">
        <f>MAX(0,G246*'Pesos GPS'!B$6+H246*'Pesos GPS'!B$7+'Pesos GPS'!B$8)</f>
        <v>0</v>
      </c>
      <c r="J246" s="5">
        <f>MAX(0,G246*'Pesos GPS'!C$6+H246*'Pesos GPS'!C$7+'Pesos GPS'!C$8)</f>
        <v>0</v>
      </c>
      <c r="K246" s="5">
        <f>MAX(0,G246*'Pesos GPS'!D$6+H246*'Pesos GPS'!D$7+'Pesos GPS'!D$8)</f>
        <v>0</v>
      </c>
      <c r="L246" s="5">
        <f>MAX(0,G246*'Pesos GPS'!E$6+H246*'Pesos GPS'!E$7+'Pesos GPS'!E$8)</f>
        <v>0</v>
      </c>
      <c r="M246" s="5">
        <f>MAX(0,I246*'Pesos GPS'!B$13+J246*'Pesos GPS'!B$14+K246*'Pesos GPS'!B$15+L246*'Pesos GPS'!B$16+'Pesos GPS'!B$17)</f>
        <v>0</v>
      </c>
      <c r="N246" s="5">
        <f>MAX(0,I246*'Pesos GPS'!C$13+J246*'Pesos GPS'!C$14+K246*'Pesos GPS'!C$15+L246*'Pesos GPS'!C$16+'Pesos GPS'!C$17)</f>
        <v>0</v>
      </c>
      <c r="O246" s="5">
        <f>MAX(0,I246*'Pesos GPS'!D$13+J246*'Pesos GPS'!D$14+K246*'Pesos GPS'!D$15+L246*'Pesos GPS'!D$16+'Pesos GPS'!D$17)</f>
        <v>0</v>
      </c>
      <c r="P246" s="5">
        <f>MAX(0,I246*'Pesos GPS'!E$13+J246*'Pesos GPS'!E$14+K246*'Pesos GPS'!E$15+L246*'Pesos GPS'!E$16+'Pesos GPS'!E$17)</f>
        <v>0</v>
      </c>
      <c r="Q246" s="5">
        <f>MAX(0,I246*'Pesos GPS'!F$13+J246*'Pesos GPS'!F$14+K246*'Pesos GPS'!F$15+L246*'Pesos GPS'!F$16+'Pesos GPS'!F$17)</f>
        <v>0</v>
      </c>
      <c r="R246" s="5">
        <f>MAX(0,I246*'Pesos GPS'!G$13+J246*'Pesos GPS'!G$14+K246*'Pesos GPS'!G$15+L246*'Pesos GPS'!G$16+'Pesos GPS'!G$17)</f>
        <v>0</v>
      </c>
      <c r="S246" s="5">
        <f>MAX(0,I246*'Pesos GPS'!H$13+J246*'Pesos GPS'!H$14+K246*'Pesos GPS'!H$15+L246*'Pesos GPS'!H$16+'Pesos GPS'!H$17)</f>
        <v>0</v>
      </c>
      <c r="T246" s="5">
        <f>MAX(0,I246*'Pesos GPS'!I$13+J246*'Pesos GPS'!I$14+K246*'Pesos GPS'!I$15+L246*'Pesos GPS'!I$16+'Pesos GPS'!I$17)</f>
        <v>0</v>
      </c>
      <c r="U246" s="5">
        <f>M246*'Pesos GPS'!$B$22+N246*'Pesos GPS'!$B$23+O246*'Pesos GPS'!$B$24+P246*'Pesos GPS'!$B$25+Q246*'Pesos GPS'!$B$26+R246*'Pesos GPS'!$B$27+S246*'Pesos GPS'!$B$28+T246*'Pesos GPS'!$B$29+'Pesos GPS'!$B$30</f>
        <v>2.37807146</v>
      </c>
      <c r="V246" s="5">
        <f t="shared" si="1"/>
        <v>0.9151397857</v>
      </c>
      <c r="W246" s="3">
        <f t="shared" si="2"/>
        <v>1</v>
      </c>
      <c r="X246" s="3">
        <f t="shared" si="3"/>
        <v>1</v>
      </c>
      <c r="Y246" s="9">
        <f t="shared" si="4"/>
        <v>0</v>
      </c>
      <c r="Z246" s="9">
        <v>0.9151397857284129</v>
      </c>
      <c r="AA246" s="3" t="str">
        <f t="shared" si="5"/>
        <v>OK</v>
      </c>
    </row>
    <row r="247" ht="15.75" customHeight="1">
      <c r="A247" s="3">
        <v>246.0</v>
      </c>
      <c r="B247" s="3" t="s">
        <v>20</v>
      </c>
      <c r="C247" s="7">
        <v>35.679656</v>
      </c>
      <c r="D247" s="7">
        <v>139.644729</v>
      </c>
      <c r="E247" s="3">
        <v>1.0</v>
      </c>
      <c r="F247" s="3" t="s">
        <v>55</v>
      </c>
      <c r="G247" s="5">
        <f>(C247-'Pesos GPS'!$L$4)/'Pesos GPS'!$L$5</f>
        <v>-0.9988524636</v>
      </c>
      <c r="H247" s="5">
        <f>(D247-'Pesos GPS'!$L$6)/'Pesos GPS'!$L$7</f>
        <v>0.9999637226</v>
      </c>
      <c r="I247" s="5">
        <f>MAX(0,G247*'Pesos GPS'!B$6+H247*'Pesos GPS'!B$7+'Pesos GPS'!B$8)</f>
        <v>0</v>
      </c>
      <c r="J247" s="5">
        <f>MAX(0,G247*'Pesos GPS'!C$6+H247*'Pesos GPS'!C$7+'Pesos GPS'!C$8)</f>
        <v>0</v>
      </c>
      <c r="K247" s="5">
        <f>MAX(0,G247*'Pesos GPS'!D$6+H247*'Pesos GPS'!D$7+'Pesos GPS'!D$8)</f>
        <v>0</v>
      </c>
      <c r="L247" s="5">
        <f>MAX(0,G247*'Pesos GPS'!E$6+H247*'Pesos GPS'!E$7+'Pesos GPS'!E$8)</f>
        <v>0</v>
      </c>
      <c r="M247" s="5">
        <f>MAX(0,I247*'Pesos GPS'!B$13+J247*'Pesos GPS'!B$14+K247*'Pesos GPS'!B$15+L247*'Pesos GPS'!B$16+'Pesos GPS'!B$17)</f>
        <v>0</v>
      </c>
      <c r="N247" s="5">
        <f>MAX(0,I247*'Pesos GPS'!C$13+J247*'Pesos GPS'!C$14+K247*'Pesos GPS'!C$15+L247*'Pesos GPS'!C$16+'Pesos GPS'!C$17)</f>
        <v>0</v>
      </c>
      <c r="O247" s="5">
        <f>MAX(0,I247*'Pesos GPS'!D$13+J247*'Pesos GPS'!D$14+K247*'Pesos GPS'!D$15+L247*'Pesos GPS'!D$16+'Pesos GPS'!D$17)</f>
        <v>0</v>
      </c>
      <c r="P247" s="5">
        <f>MAX(0,I247*'Pesos GPS'!E$13+J247*'Pesos GPS'!E$14+K247*'Pesos GPS'!E$15+L247*'Pesos GPS'!E$16+'Pesos GPS'!E$17)</f>
        <v>0</v>
      </c>
      <c r="Q247" s="5">
        <f>MAX(0,I247*'Pesos GPS'!F$13+J247*'Pesos GPS'!F$14+K247*'Pesos GPS'!F$15+L247*'Pesos GPS'!F$16+'Pesos GPS'!F$17)</f>
        <v>0</v>
      </c>
      <c r="R247" s="5">
        <f>MAX(0,I247*'Pesos GPS'!G$13+J247*'Pesos GPS'!G$14+K247*'Pesos GPS'!G$15+L247*'Pesos GPS'!G$16+'Pesos GPS'!G$17)</f>
        <v>0</v>
      </c>
      <c r="S247" s="5">
        <f>MAX(0,I247*'Pesos GPS'!H$13+J247*'Pesos GPS'!H$14+K247*'Pesos GPS'!H$15+L247*'Pesos GPS'!H$16+'Pesos GPS'!H$17)</f>
        <v>0</v>
      </c>
      <c r="T247" s="5">
        <f>MAX(0,I247*'Pesos GPS'!I$13+J247*'Pesos GPS'!I$14+K247*'Pesos GPS'!I$15+L247*'Pesos GPS'!I$16+'Pesos GPS'!I$17)</f>
        <v>0</v>
      </c>
      <c r="U247" s="5">
        <f>M247*'Pesos GPS'!$B$22+N247*'Pesos GPS'!$B$23+O247*'Pesos GPS'!$B$24+P247*'Pesos GPS'!$B$25+Q247*'Pesos GPS'!$B$26+R247*'Pesos GPS'!$B$27+S247*'Pesos GPS'!$B$28+T247*'Pesos GPS'!$B$29+'Pesos GPS'!$B$30</f>
        <v>2.37807146</v>
      </c>
      <c r="V247" s="5">
        <f t="shared" si="1"/>
        <v>0.9151397857</v>
      </c>
      <c r="W247" s="3">
        <f t="shared" si="2"/>
        <v>1</v>
      </c>
      <c r="X247" s="3">
        <f t="shared" si="3"/>
        <v>1</v>
      </c>
      <c r="Y247" s="9">
        <f t="shared" si="4"/>
        <v>0</v>
      </c>
      <c r="Z247" s="9">
        <v>0.9151397857284129</v>
      </c>
      <c r="AA247" s="3" t="str">
        <f t="shared" si="5"/>
        <v>OK</v>
      </c>
    </row>
    <row r="248" ht="15.75" customHeight="1">
      <c r="A248" s="3">
        <v>247.0</v>
      </c>
      <c r="B248" s="3" t="s">
        <v>20</v>
      </c>
      <c r="C248" s="7">
        <v>35.695203</v>
      </c>
      <c r="D248" s="7">
        <v>139.657419</v>
      </c>
      <c r="E248" s="3">
        <v>1.0</v>
      </c>
      <c r="F248" s="3" t="s">
        <v>55</v>
      </c>
      <c r="G248" s="5">
        <f>(C248-'Pesos GPS'!$L$4)/'Pesos GPS'!$L$5</f>
        <v>-0.9926771468</v>
      </c>
      <c r="H248" s="5">
        <f>(D248-'Pesos GPS'!$L$6)/'Pesos GPS'!$L$7</f>
        <v>1.000082512</v>
      </c>
      <c r="I248" s="5">
        <f>MAX(0,G248*'Pesos GPS'!B$6+H248*'Pesos GPS'!B$7+'Pesos GPS'!B$8)</f>
        <v>0</v>
      </c>
      <c r="J248" s="5">
        <f>MAX(0,G248*'Pesos GPS'!C$6+H248*'Pesos GPS'!C$7+'Pesos GPS'!C$8)</f>
        <v>0</v>
      </c>
      <c r="K248" s="5">
        <f>MAX(0,G248*'Pesos GPS'!D$6+H248*'Pesos GPS'!D$7+'Pesos GPS'!D$8)</f>
        <v>0</v>
      </c>
      <c r="L248" s="5">
        <f>MAX(0,G248*'Pesos GPS'!E$6+H248*'Pesos GPS'!E$7+'Pesos GPS'!E$8)</f>
        <v>0</v>
      </c>
      <c r="M248" s="5">
        <f>MAX(0,I248*'Pesos GPS'!B$13+J248*'Pesos GPS'!B$14+K248*'Pesos GPS'!B$15+L248*'Pesos GPS'!B$16+'Pesos GPS'!B$17)</f>
        <v>0</v>
      </c>
      <c r="N248" s="5">
        <f>MAX(0,I248*'Pesos GPS'!C$13+J248*'Pesos GPS'!C$14+K248*'Pesos GPS'!C$15+L248*'Pesos GPS'!C$16+'Pesos GPS'!C$17)</f>
        <v>0</v>
      </c>
      <c r="O248" s="5">
        <f>MAX(0,I248*'Pesos GPS'!D$13+J248*'Pesos GPS'!D$14+K248*'Pesos GPS'!D$15+L248*'Pesos GPS'!D$16+'Pesos GPS'!D$17)</f>
        <v>0</v>
      </c>
      <c r="P248" s="5">
        <f>MAX(0,I248*'Pesos GPS'!E$13+J248*'Pesos GPS'!E$14+K248*'Pesos GPS'!E$15+L248*'Pesos GPS'!E$16+'Pesos GPS'!E$17)</f>
        <v>0</v>
      </c>
      <c r="Q248" s="5">
        <f>MAX(0,I248*'Pesos GPS'!F$13+J248*'Pesos GPS'!F$14+K248*'Pesos GPS'!F$15+L248*'Pesos GPS'!F$16+'Pesos GPS'!F$17)</f>
        <v>0</v>
      </c>
      <c r="R248" s="5">
        <f>MAX(0,I248*'Pesos GPS'!G$13+J248*'Pesos GPS'!G$14+K248*'Pesos GPS'!G$15+L248*'Pesos GPS'!G$16+'Pesos GPS'!G$17)</f>
        <v>0</v>
      </c>
      <c r="S248" s="5">
        <f>MAX(0,I248*'Pesos GPS'!H$13+J248*'Pesos GPS'!H$14+K248*'Pesos GPS'!H$15+L248*'Pesos GPS'!H$16+'Pesos GPS'!H$17)</f>
        <v>0</v>
      </c>
      <c r="T248" s="5">
        <f>MAX(0,I248*'Pesos GPS'!I$13+J248*'Pesos GPS'!I$14+K248*'Pesos GPS'!I$15+L248*'Pesos GPS'!I$16+'Pesos GPS'!I$17)</f>
        <v>0</v>
      </c>
      <c r="U248" s="5">
        <f>M248*'Pesos GPS'!$B$22+N248*'Pesos GPS'!$B$23+O248*'Pesos GPS'!$B$24+P248*'Pesos GPS'!$B$25+Q248*'Pesos GPS'!$B$26+R248*'Pesos GPS'!$B$27+S248*'Pesos GPS'!$B$28+T248*'Pesos GPS'!$B$29+'Pesos GPS'!$B$30</f>
        <v>2.37807146</v>
      </c>
      <c r="V248" s="5">
        <f t="shared" si="1"/>
        <v>0.9151397857</v>
      </c>
      <c r="W248" s="3">
        <f t="shared" si="2"/>
        <v>1</v>
      </c>
      <c r="X248" s="3">
        <f t="shared" si="3"/>
        <v>1</v>
      </c>
      <c r="Y248" s="9">
        <f t="shared" si="4"/>
        <v>0</v>
      </c>
      <c r="Z248" s="9">
        <v>0.9151397857284129</v>
      </c>
      <c r="AA248" s="3" t="str">
        <f t="shared" si="5"/>
        <v>OK</v>
      </c>
    </row>
    <row r="249" ht="15.75" customHeight="1">
      <c r="A249" s="3">
        <v>248.0</v>
      </c>
      <c r="B249" s="3" t="s">
        <v>20</v>
      </c>
      <c r="C249" s="7">
        <v>35.68193</v>
      </c>
      <c r="D249" s="7">
        <v>139.615001</v>
      </c>
      <c r="E249" s="3">
        <v>1.0</v>
      </c>
      <c r="F249" s="3" t="s">
        <v>55</v>
      </c>
      <c r="G249" s="5">
        <f>(C249-'Pesos GPS'!$L$4)/'Pesos GPS'!$L$5</f>
        <v>-0.9979492237</v>
      </c>
      <c r="H249" s="5">
        <f>(D249-'Pesos GPS'!$L$6)/'Pesos GPS'!$L$7</f>
        <v>0.9996854427</v>
      </c>
      <c r="I249" s="5">
        <f>MAX(0,G249*'Pesos GPS'!B$6+H249*'Pesos GPS'!B$7+'Pesos GPS'!B$8)</f>
        <v>0</v>
      </c>
      <c r="J249" s="5">
        <f>MAX(0,G249*'Pesos GPS'!C$6+H249*'Pesos GPS'!C$7+'Pesos GPS'!C$8)</f>
        <v>0</v>
      </c>
      <c r="K249" s="5">
        <f>MAX(0,G249*'Pesos GPS'!D$6+H249*'Pesos GPS'!D$7+'Pesos GPS'!D$8)</f>
        <v>0</v>
      </c>
      <c r="L249" s="5">
        <f>MAX(0,G249*'Pesos GPS'!E$6+H249*'Pesos GPS'!E$7+'Pesos GPS'!E$8)</f>
        <v>0</v>
      </c>
      <c r="M249" s="5">
        <f>MAX(0,I249*'Pesos GPS'!B$13+J249*'Pesos GPS'!B$14+K249*'Pesos GPS'!B$15+L249*'Pesos GPS'!B$16+'Pesos GPS'!B$17)</f>
        <v>0</v>
      </c>
      <c r="N249" s="5">
        <f>MAX(0,I249*'Pesos GPS'!C$13+J249*'Pesos GPS'!C$14+K249*'Pesos GPS'!C$15+L249*'Pesos GPS'!C$16+'Pesos GPS'!C$17)</f>
        <v>0</v>
      </c>
      <c r="O249" s="5">
        <f>MAX(0,I249*'Pesos GPS'!D$13+J249*'Pesos GPS'!D$14+K249*'Pesos GPS'!D$15+L249*'Pesos GPS'!D$16+'Pesos GPS'!D$17)</f>
        <v>0</v>
      </c>
      <c r="P249" s="5">
        <f>MAX(0,I249*'Pesos GPS'!E$13+J249*'Pesos GPS'!E$14+K249*'Pesos GPS'!E$15+L249*'Pesos GPS'!E$16+'Pesos GPS'!E$17)</f>
        <v>0</v>
      </c>
      <c r="Q249" s="5">
        <f>MAX(0,I249*'Pesos GPS'!F$13+J249*'Pesos GPS'!F$14+K249*'Pesos GPS'!F$15+L249*'Pesos GPS'!F$16+'Pesos GPS'!F$17)</f>
        <v>0</v>
      </c>
      <c r="R249" s="5">
        <f>MAX(0,I249*'Pesos GPS'!G$13+J249*'Pesos GPS'!G$14+K249*'Pesos GPS'!G$15+L249*'Pesos GPS'!G$16+'Pesos GPS'!G$17)</f>
        <v>0</v>
      </c>
      <c r="S249" s="5">
        <f>MAX(0,I249*'Pesos GPS'!H$13+J249*'Pesos GPS'!H$14+K249*'Pesos GPS'!H$15+L249*'Pesos GPS'!H$16+'Pesos GPS'!H$17)</f>
        <v>0</v>
      </c>
      <c r="T249" s="5">
        <f>MAX(0,I249*'Pesos GPS'!I$13+J249*'Pesos GPS'!I$14+K249*'Pesos GPS'!I$15+L249*'Pesos GPS'!I$16+'Pesos GPS'!I$17)</f>
        <v>0</v>
      </c>
      <c r="U249" s="5">
        <f>M249*'Pesos GPS'!$B$22+N249*'Pesos GPS'!$B$23+O249*'Pesos GPS'!$B$24+P249*'Pesos GPS'!$B$25+Q249*'Pesos GPS'!$B$26+R249*'Pesos GPS'!$B$27+S249*'Pesos GPS'!$B$28+T249*'Pesos GPS'!$B$29+'Pesos GPS'!$B$30</f>
        <v>2.37807146</v>
      </c>
      <c r="V249" s="5">
        <f t="shared" si="1"/>
        <v>0.9151397857</v>
      </c>
      <c r="W249" s="3">
        <f t="shared" si="2"/>
        <v>1</v>
      </c>
      <c r="X249" s="3">
        <f t="shared" si="3"/>
        <v>1</v>
      </c>
      <c r="Y249" s="9">
        <f t="shared" si="4"/>
        <v>0</v>
      </c>
      <c r="Z249" s="9">
        <v>0.9151397857284129</v>
      </c>
      <c r="AA249" s="3" t="str">
        <f t="shared" si="5"/>
        <v>OK</v>
      </c>
    </row>
    <row r="250" ht="15.75" customHeight="1">
      <c r="A250" s="3">
        <v>249.0</v>
      </c>
      <c r="B250" s="3" t="s">
        <v>20</v>
      </c>
      <c r="C250" s="7">
        <v>35.689452</v>
      </c>
      <c r="D250" s="7">
        <v>139.67504</v>
      </c>
      <c r="E250" s="3">
        <v>1.0</v>
      </c>
      <c r="F250" s="3" t="s">
        <v>55</v>
      </c>
      <c r="G250" s="5">
        <f>(C250-'Pesos GPS'!$L$4)/'Pesos GPS'!$L$5</f>
        <v>-0.9949614619</v>
      </c>
      <c r="H250" s="5">
        <f>(D250-'Pesos GPS'!$L$6)/'Pesos GPS'!$L$7</f>
        <v>1.00024746</v>
      </c>
      <c r="I250" s="5">
        <f>MAX(0,G250*'Pesos GPS'!B$6+H250*'Pesos GPS'!B$7+'Pesos GPS'!B$8)</f>
        <v>0</v>
      </c>
      <c r="J250" s="5">
        <f>MAX(0,G250*'Pesos GPS'!C$6+H250*'Pesos GPS'!C$7+'Pesos GPS'!C$8)</f>
        <v>0</v>
      </c>
      <c r="K250" s="5">
        <f>MAX(0,G250*'Pesos GPS'!D$6+H250*'Pesos GPS'!D$7+'Pesos GPS'!D$8)</f>
        <v>0</v>
      </c>
      <c r="L250" s="5">
        <f>MAX(0,G250*'Pesos GPS'!E$6+H250*'Pesos GPS'!E$7+'Pesos GPS'!E$8)</f>
        <v>0</v>
      </c>
      <c r="M250" s="5">
        <f>MAX(0,I250*'Pesos GPS'!B$13+J250*'Pesos GPS'!B$14+K250*'Pesos GPS'!B$15+L250*'Pesos GPS'!B$16+'Pesos GPS'!B$17)</f>
        <v>0</v>
      </c>
      <c r="N250" s="5">
        <f>MAX(0,I250*'Pesos GPS'!C$13+J250*'Pesos GPS'!C$14+K250*'Pesos GPS'!C$15+L250*'Pesos GPS'!C$16+'Pesos GPS'!C$17)</f>
        <v>0</v>
      </c>
      <c r="O250" s="5">
        <f>MAX(0,I250*'Pesos GPS'!D$13+J250*'Pesos GPS'!D$14+K250*'Pesos GPS'!D$15+L250*'Pesos GPS'!D$16+'Pesos GPS'!D$17)</f>
        <v>0</v>
      </c>
      <c r="P250" s="5">
        <f>MAX(0,I250*'Pesos GPS'!E$13+J250*'Pesos GPS'!E$14+K250*'Pesos GPS'!E$15+L250*'Pesos GPS'!E$16+'Pesos GPS'!E$17)</f>
        <v>0</v>
      </c>
      <c r="Q250" s="5">
        <f>MAX(0,I250*'Pesos GPS'!F$13+J250*'Pesos GPS'!F$14+K250*'Pesos GPS'!F$15+L250*'Pesos GPS'!F$16+'Pesos GPS'!F$17)</f>
        <v>0</v>
      </c>
      <c r="R250" s="5">
        <f>MAX(0,I250*'Pesos GPS'!G$13+J250*'Pesos GPS'!G$14+K250*'Pesos GPS'!G$15+L250*'Pesos GPS'!G$16+'Pesos GPS'!G$17)</f>
        <v>0</v>
      </c>
      <c r="S250" s="5">
        <f>MAX(0,I250*'Pesos GPS'!H$13+J250*'Pesos GPS'!H$14+K250*'Pesos GPS'!H$15+L250*'Pesos GPS'!H$16+'Pesos GPS'!H$17)</f>
        <v>0</v>
      </c>
      <c r="T250" s="5">
        <f>MAX(0,I250*'Pesos GPS'!I$13+J250*'Pesos GPS'!I$14+K250*'Pesos GPS'!I$15+L250*'Pesos GPS'!I$16+'Pesos GPS'!I$17)</f>
        <v>0</v>
      </c>
      <c r="U250" s="5">
        <f>M250*'Pesos GPS'!$B$22+N250*'Pesos GPS'!$B$23+O250*'Pesos GPS'!$B$24+P250*'Pesos GPS'!$B$25+Q250*'Pesos GPS'!$B$26+R250*'Pesos GPS'!$B$27+S250*'Pesos GPS'!$B$28+T250*'Pesos GPS'!$B$29+'Pesos GPS'!$B$30</f>
        <v>2.37807146</v>
      </c>
      <c r="V250" s="5">
        <f t="shared" si="1"/>
        <v>0.9151397857</v>
      </c>
      <c r="W250" s="3">
        <f t="shared" si="2"/>
        <v>1</v>
      </c>
      <c r="X250" s="3">
        <f t="shared" si="3"/>
        <v>1</v>
      </c>
      <c r="Y250" s="9">
        <f t="shared" si="4"/>
        <v>0</v>
      </c>
      <c r="Z250" s="9">
        <v>0.9151397857284129</v>
      </c>
      <c r="AA250" s="3" t="str">
        <f t="shared" si="5"/>
        <v>OK</v>
      </c>
    </row>
    <row r="251" ht="15.75" customHeight="1">
      <c r="A251" s="3">
        <v>250.0</v>
      </c>
      <c r="B251" s="3" t="s">
        <v>20</v>
      </c>
      <c r="C251" s="7">
        <v>35.658583</v>
      </c>
      <c r="D251" s="7">
        <v>139.673493</v>
      </c>
      <c r="E251" s="3">
        <v>1.0</v>
      </c>
      <c r="F251" s="3" t="s">
        <v>55</v>
      </c>
      <c r="G251" s="5">
        <f>(C251-'Pesos GPS'!$L$4)/'Pesos GPS'!$L$5</f>
        <v>-1.007222725</v>
      </c>
      <c r="H251" s="5">
        <f>(D251-'Pesos GPS'!$L$6)/'Pesos GPS'!$L$7</f>
        <v>1.000232979</v>
      </c>
      <c r="I251" s="5">
        <f>MAX(0,G251*'Pesos GPS'!B$6+H251*'Pesos GPS'!B$7+'Pesos GPS'!B$8)</f>
        <v>0</v>
      </c>
      <c r="J251" s="5">
        <f>MAX(0,G251*'Pesos GPS'!C$6+H251*'Pesos GPS'!C$7+'Pesos GPS'!C$8)</f>
        <v>0</v>
      </c>
      <c r="K251" s="5">
        <f>MAX(0,G251*'Pesos GPS'!D$6+H251*'Pesos GPS'!D$7+'Pesos GPS'!D$8)</f>
        <v>0</v>
      </c>
      <c r="L251" s="5">
        <f>MAX(0,G251*'Pesos GPS'!E$6+H251*'Pesos GPS'!E$7+'Pesos GPS'!E$8)</f>
        <v>0</v>
      </c>
      <c r="M251" s="5">
        <f>MAX(0,I251*'Pesos GPS'!B$13+J251*'Pesos GPS'!B$14+K251*'Pesos GPS'!B$15+L251*'Pesos GPS'!B$16+'Pesos GPS'!B$17)</f>
        <v>0</v>
      </c>
      <c r="N251" s="5">
        <f>MAX(0,I251*'Pesos GPS'!C$13+J251*'Pesos GPS'!C$14+K251*'Pesos GPS'!C$15+L251*'Pesos GPS'!C$16+'Pesos GPS'!C$17)</f>
        <v>0</v>
      </c>
      <c r="O251" s="5">
        <f>MAX(0,I251*'Pesos GPS'!D$13+J251*'Pesos GPS'!D$14+K251*'Pesos GPS'!D$15+L251*'Pesos GPS'!D$16+'Pesos GPS'!D$17)</f>
        <v>0</v>
      </c>
      <c r="P251" s="5">
        <f>MAX(0,I251*'Pesos GPS'!E$13+J251*'Pesos GPS'!E$14+K251*'Pesos GPS'!E$15+L251*'Pesos GPS'!E$16+'Pesos GPS'!E$17)</f>
        <v>0</v>
      </c>
      <c r="Q251" s="5">
        <f>MAX(0,I251*'Pesos GPS'!F$13+J251*'Pesos GPS'!F$14+K251*'Pesos GPS'!F$15+L251*'Pesos GPS'!F$16+'Pesos GPS'!F$17)</f>
        <v>0</v>
      </c>
      <c r="R251" s="5">
        <f>MAX(0,I251*'Pesos GPS'!G$13+J251*'Pesos GPS'!G$14+K251*'Pesos GPS'!G$15+L251*'Pesos GPS'!G$16+'Pesos GPS'!G$17)</f>
        <v>0</v>
      </c>
      <c r="S251" s="5">
        <f>MAX(0,I251*'Pesos GPS'!H$13+J251*'Pesos GPS'!H$14+K251*'Pesos GPS'!H$15+L251*'Pesos GPS'!H$16+'Pesos GPS'!H$17)</f>
        <v>0</v>
      </c>
      <c r="T251" s="5">
        <f>MAX(0,I251*'Pesos GPS'!I$13+J251*'Pesos GPS'!I$14+K251*'Pesos GPS'!I$15+L251*'Pesos GPS'!I$16+'Pesos GPS'!I$17)</f>
        <v>0</v>
      </c>
      <c r="U251" s="5">
        <f>M251*'Pesos GPS'!$B$22+N251*'Pesos GPS'!$B$23+O251*'Pesos GPS'!$B$24+P251*'Pesos GPS'!$B$25+Q251*'Pesos GPS'!$B$26+R251*'Pesos GPS'!$B$27+S251*'Pesos GPS'!$B$28+T251*'Pesos GPS'!$B$29+'Pesos GPS'!$B$30</f>
        <v>2.37807146</v>
      </c>
      <c r="V251" s="5">
        <f t="shared" si="1"/>
        <v>0.9151397857</v>
      </c>
      <c r="W251" s="3">
        <f t="shared" si="2"/>
        <v>1</v>
      </c>
      <c r="X251" s="3">
        <f t="shared" si="3"/>
        <v>1</v>
      </c>
      <c r="Y251" s="9">
        <f t="shared" si="4"/>
        <v>0</v>
      </c>
      <c r="Z251" s="9">
        <v>0.9151397857284129</v>
      </c>
      <c r="AA251" s="3" t="str">
        <f t="shared" si="5"/>
        <v>OK</v>
      </c>
    </row>
    <row r="252" ht="15.75" customHeight="1">
      <c r="A252" s="3">
        <v>251.0</v>
      </c>
      <c r="B252" s="3" t="s">
        <v>20</v>
      </c>
      <c r="C252" s="7">
        <v>35.67171</v>
      </c>
      <c r="D252" s="7">
        <v>139.663776</v>
      </c>
      <c r="E252" s="3">
        <v>1.0</v>
      </c>
      <c r="F252" s="3" t="s">
        <v>55</v>
      </c>
      <c r="G252" s="5">
        <f>(C252-'Pesos GPS'!$L$4)/'Pesos GPS'!$L$5</f>
        <v>-1.00200864</v>
      </c>
      <c r="H252" s="5">
        <f>(D252-'Pesos GPS'!$L$6)/'Pesos GPS'!$L$7</f>
        <v>1.000142019</v>
      </c>
      <c r="I252" s="5">
        <f>MAX(0,G252*'Pesos GPS'!B$6+H252*'Pesos GPS'!B$7+'Pesos GPS'!B$8)</f>
        <v>0</v>
      </c>
      <c r="J252" s="5">
        <f>MAX(0,G252*'Pesos GPS'!C$6+H252*'Pesos GPS'!C$7+'Pesos GPS'!C$8)</f>
        <v>0</v>
      </c>
      <c r="K252" s="5">
        <f>MAX(0,G252*'Pesos GPS'!D$6+H252*'Pesos GPS'!D$7+'Pesos GPS'!D$8)</f>
        <v>0</v>
      </c>
      <c r="L252" s="5">
        <f>MAX(0,G252*'Pesos GPS'!E$6+H252*'Pesos GPS'!E$7+'Pesos GPS'!E$8)</f>
        <v>0</v>
      </c>
      <c r="M252" s="5">
        <f>MAX(0,I252*'Pesos GPS'!B$13+J252*'Pesos GPS'!B$14+K252*'Pesos GPS'!B$15+L252*'Pesos GPS'!B$16+'Pesos GPS'!B$17)</f>
        <v>0</v>
      </c>
      <c r="N252" s="5">
        <f>MAX(0,I252*'Pesos GPS'!C$13+J252*'Pesos GPS'!C$14+K252*'Pesos GPS'!C$15+L252*'Pesos GPS'!C$16+'Pesos GPS'!C$17)</f>
        <v>0</v>
      </c>
      <c r="O252" s="5">
        <f>MAX(0,I252*'Pesos GPS'!D$13+J252*'Pesos GPS'!D$14+K252*'Pesos GPS'!D$15+L252*'Pesos GPS'!D$16+'Pesos GPS'!D$17)</f>
        <v>0</v>
      </c>
      <c r="P252" s="5">
        <f>MAX(0,I252*'Pesos GPS'!E$13+J252*'Pesos GPS'!E$14+K252*'Pesos GPS'!E$15+L252*'Pesos GPS'!E$16+'Pesos GPS'!E$17)</f>
        <v>0</v>
      </c>
      <c r="Q252" s="5">
        <f>MAX(0,I252*'Pesos GPS'!F$13+J252*'Pesos GPS'!F$14+K252*'Pesos GPS'!F$15+L252*'Pesos GPS'!F$16+'Pesos GPS'!F$17)</f>
        <v>0</v>
      </c>
      <c r="R252" s="5">
        <f>MAX(0,I252*'Pesos GPS'!G$13+J252*'Pesos GPS'!G$14+K252*'Pesos GPS'!G$15+L252*'Pesos GPS'!G$16+'Pesos GPS'!G$17)</f>
        <v>0</v>
      </c>
      <c r="S252" s="5">
        <f>MAX(0,I252*'Pesos GPS'!H$13+J252*'Pesos GPS'!H$14+K252*'Pesos GPS'!H$15+L252*'Pesos GPS'!H$16+'Pesos GPS'!H$17)</f>
        <v>0</v>
      </c>
      <c r="T252" s="5">
        <f>MAX(0,I252*'Pesos GPS'!I$13+J252*'Pesos GPS'!I$14+K252*'Pesos GPS'!I$15+L252*'Pesos GPS'!I$16+'Pesos GPS'!I$17)</f>
        <v>0</v>
      </c>
      <c r="U252" s="5">
        <f>M252*'Pesos GPS'!$B$22+N252*'Pesos GPS'!$B$23+O252*'Pesos GPS'!$B$24+P252*'Pesos GPS'!$B$25+Q252*'Pesos GPS'!$B$26+R252*'Pesos GPS'!$B$27+S252*'Pesos GPS'!$B$28+T252*'Pesos GPS'!$B$29+'Pesos GPS'!$B$30</f>
        <v>2.37807146</v>
      </c>
      <c r="V252" s="5">
        <f t="shared" si="1"/>
        <v>0.9151397857</v>
      </c>
      <c r="W252" s="3">
        <f t="shared" si="2"/>
        <v>1</v>
      </c>
      <c r="X252" s="3">
        <f t="shared" si="3"/>
        <v>1</v>
      </c>
      <c r="Y252" s="9">
        <f t="shared" si="4"/>
        <v>0</v>
      </c>
      <c r="Z252" s="9">
        <v>0.9151397857284129</v>
      </c>
      <c r="AA252" s="3" t="str">
        <f t="shared" si="5"/>
        <v>OK</v>
      </c>
    </row>
    <row r="253" ht="15.75" customHeight="1">
      <c r="A253" s="3">
        <v>252.0</v>
      </c>
      <c r="B253" s="3" t="s">
        <v>20</v>
      </c>
      <c r="C253" s="7">
        <v>35.681119</v>
      </c>
      <c r="D253" s="7">
        <v>139.669779</v>
      </c>
      <c r="E253" s="3">
        <v>1.0</v>
      </c>
      <c r="F253" s="3" t="s">
        <v>55</v>
      </c>
      <c r="G253" s="5">
        <f>(C253-'Pesos GPS'!$L$4)/'Pesos GPS'!$L$5</f>
        <v>-0.9982713554</v>
      </c>
      <c r="H253" s="5">
        <f>(D253-'Pesos GPS'!$L$6)/'Pesos GPS'!$L$7</f>
        <v>1.000198212</v>
      </c>
      <c r="I253" s="5">
        <f>MAX(0,G253*'Pesos GPS'!B$6+H253*'Pesos GPS'!B$7+'Pesos GPS'!B$8)</f>
        <v>0</v>
      </c>
      <c r="J253" s="5">
        <f>MAX(0,G253*'Pesos GPS'!C$6+H253*'Pesos GPS'!C$7+'Pesos GPS'!C$8)</f>
        <v>0</v>
      </c>
      <c r="K253" s="5">
        <f>MAX(0,G253*'Pesos GPS'!D$6+H253*'Pesos GPS'!D$7+'Pesos GPS'!D$8)</f>
        <v>0</v>
      </c>
      <c r="L253" s="5">
        <f>MAX(0,G253*'Pesos GPS'!E$6+H253*'Pesos GPS'!E$7+'Pesos GPS'!E$8)</f>
        <v>0</v>
      </c>
      <c r="M253" s="5">
        <f>MAX(0,I253*'Pesos GPS'!B$13+J253*'Pesos GPS'!B$14+K253*'Pesos GPS'!B$15+L253*'Pesos GPS'!B$16+'Pesos GPS'!B$17)</f>
        <v>0</v>
      </c>
      <c r="N253" s="5">
        <f>MAX(0,I253*'Pesos GPS'!C$13+J253*'Pesos GPS'!C$14+K253*'Pesos GPS'!C$15+L253*'Pesos GPS'!C$16+'Pesos GPS'!C$17)</f>
        <v>0</v>
      </c>
      <c r="O253" s="5">
        <f>MAX(0,I253*'Pesos GPS'!D$13+J253*'Pesos GPS'!D$14+K253*'Pesos GPS'!D$15+L253*'Pesos GPS'!D$16+'Pesos GPS'!D$17)</f>
        <v>0</v>
      </c>
      <c r="P253" s="5">
        <f>MAX(0,I253*'Pesos GPS'!E$13+J253*'Pesos GPS'!E$14+K253*'Pesos GPS'!E$15+L253*'Pesos GPS'!E$16+'Pesos GPS'!E$17)</f>
        <v>0</v>
      </c>
      <c r="Q253" s="5">
        <f>MAX(0,I253*'Pesos GPS'!F$13+J253*'Pesos GPS'!F$14+K253*'Pesos GPS'!F$15+L253*'Pesos GPS'!F$16+'Pesos GPS'!F$17)</f>
        <v>0</v>
      </c>
      <c r="R253" s="5">
        <f>MAX(0,I253*'Pesos GPS'!G$13+J253*'Pesos GPS'!G$14+K253*'Pesos GPS'!G$15+L253*'Pesos GPS'!G$16+'Pesos GPS'!G$17)</f>
        <v>0</v>
      </c>
      <c r="S253" s="5">
        <f>MAX(0,I253*'Pesos GPS'!H$13+J253*'Pesos GPS'!H$14+K253*'Pesos GPS'!H$15+L253*'Pesos GPS'!H$16+'Pesos GPS'!H$17)</f>
        <v>0</v>
      </c>
      <c r="T253" s="5">
        <f>MAX(0,I253*'Pesos GPS'!I$13+J253*'Pesos GPS'!I$14+K253*'Pesos GPS'!I$15+L253*'Pesos GPS'!I$16+'Pesos GPS'!I$17)</f>
        <v>0</v>
      </c>
      <c r="U253" s="5">
        <f>M253*'Pesos GPS'!$B$22+N253*'Pesos GPS'!$B$23+O253*'Pesos GPS'!$B$24+P253*'Pesos GPS'!$B$25+Q253*'Pesos GPS'!$B$26+R253*'Pesos GPS'!$B$27+S253*'Pesos GPS'!$B$28+T253*'Pesos GPS'!$B$29+'Pesos GPS'!$B$30</f>
        <v>2.37807146</v>
      </c>
      <c r="V253" s="5">
        <f t="shared" si="1"/>
        <v>0.9151397857</v>
      </c>
      <c r="W253" s="3">
        <f t="shared" si="2"/>
        <v>1</v>
      </c>
      <c r="X253" s="3">
        <f t="shared" si="3"/>
        <v>1</v>
      </c>
      <c r="Y253" s="9">
        <f t="shared" si="4"/>
        <v>0</v>
      </c>
      <c r="Z253" s="9">
        <v>0.9151397857284129</v>
      </c>
      <c r="AA253" s="3" t="str">
        <f t="shared" si="5"/>
        <v>OK</v>
      </c>
    </row>
    <row r="254" ht="15.75" customHeight="1">
      <c r="A254" s="3">
        <v>253.0</v>
      </c>
      <c r="B254" s="3" t="s">
        <v>20</v>
      </c>
      <c r="C254" s="7">
        <v>35.696713</v>
      </c>
      <c r="D254" s="7">
        <v>139.660675</v>
      </c>
      <c r="E254" s="3">
        <v>1.0</v>
      </c>
      <c r="F254" s="3" t="s">
        <v>55</v>
      </c>
      <c r="G254" s="5">
        <f>(C254-'Pesos GPS'!$L$4)/'Pesos GPS'!$L$5</f>
        <v>-0.9920773701</v>
      </c>
      <c r="H254" s="5">
        <f>(D254-'Pesos GPS'!$L$6)/'Pesos GPS'!$L$7</f>
        <v>1.000112991</v>
      </c>
      <c r="I254" s="5">
        <f>MAX(0,G254*'Pesos GPS'!B$6+H254*'Pesos GPS'!B$7+'Pesos GPS'!B$8)</f>
        <v>0</v>
      </c>
      <c r="J254" s="5">
        <f>MAX(0,G254*'Pesos GPS'!C$6+H254*'Pesos GPS'!C$7+'Pesos GPS'!C$8)</f>
        <v>0</v>
      </c>
      <c r="K254" s="5">
        <f>MAX(0,G254*'Pesos GPS'!D$6+H254*'Pesos GPS'!D$7+'Pesos GPS'!D$8)</f>
        <v>0</v>
      </c>
      <c r="L254" s="5">
        <f>MAX(0,G254*'Pesos GPS'!E$6+H254*'Pesos GPS'!E$7+'Pesos GPS'!E$8)</f>
        <v>0</v>
      </c>
      <c r="M254" s="5">
        <f>MAX(0,I254*'Pesos GPS'!B$13+J254*'Pesos GPS'!B$14+K254*'Pesos GPS'!B$15+L254*'Pesos GPS'!B$16+'Pesos GPS'!B$17)</f>
        <v>0</v>
      </c>
      <c r="N254" s="5">
        <f>MAX(0,I254*'Pesos GPS'!C$13+J254*'Pesos GPS'!C$14+K254*'Pesos GPS'!C$15+L254*'Pesos GPS'!C$16+'Pesos GPS'!C$17)</f>
        <v>0</v>
      </c>
      <c r="O254" s="5">
        <f>MAX(0,I254*'Pesos GPS'!D$13+J254*'Pesos GPS'!D$14+K254*'Pesos GPS'!D$15+L254*'Pesos GPS'!D$16+'Pesos GPS'!D$17)</f>
        <v>0</v>
      </c>
      <c r="P254" s="5">
        <f>MAX(0,I254*'Pesos GPS'!E$13+J254*'Pesos GPS'!E$14+K254*'Pesos GPS'!E$15+L254*'Pesos GPS'!E$16+'Pesos GPS'!E$17)</f>
        <v>0</v>
      </c>
      <c r="Q254" s="5">
        <f>MAX(0,I254*'Pesos GPS'!F$13+J254*'Pesos GPS'!F$14+K254*'Pesos GPS'!F$15+L254*'Pesos GPS'!F$16+'Pesos GPS'!F$17)</f>
        <v>0</v>
      </c>
      <c r="R254" s="5">
        <f>MAX(0,I254*'Pesos GPS'!G$13+J254*'Pesos GPS'!G$14+K254*'Pesos GPS'!G$15+L254*'Pesos GPS'!G$16+'Pesos GPS'!G$17)</f>
        <v>0</v>
      </c>
      <c r="S254" s="5">
        <f>MAX(0,I254*'Pesos GPS'!H$13+J254*'Pesos GPS'!H$14+K254*'Pesos GPS'!H$15+L254*'Pesos GPS'!H$16+'Pesos GPS'!H$17)</f>
        <v>0</v>
      </c>
      <c r="T254" s="5">
        <f>MAX(0,I254*'Pesos GPS'!I$13+J254*'Pesos GPS'!I$14+K254*'Pesos GPS'!I$15+L254*'Pesos GPS'!I$16+'Pesos GPS'!I$17)</f>
        <v>0</v>
      </c>
      <c r="U254" s="5">
        <f>M254*'Pesos GPS'!$B$22+N254*'Pesos GPS'!$B$23+O254*'Pesos GPS'!$B$24+P254*'Pesos GPS'!$B$25+Q254*'Pesos GPS'!$B$26+R254*'Pesos GPS'!$B$27+S254*'Pesos GPS'!$B$28+T254*'Pesos GPS'!$B$29+'Pesos GPS'!$B$30</f>
        <v>2.37807146</v>
      </c>
      <c r="V254" s="5">
        <f t="shared" si="1"/>
        <v>0.9151397857</v>
      </c>
      <c r="W254" s="3">
        <f t="shared" si="2"/>
        <v>1</v>
      </c>
      <c r="X254" s="3">
        <f t="shared" si="3"/>
        <v>1</v>
      </c>
      <c r="Y254" s="9">
        <f t="shared" si="4"/>
        <v>0</v>
      </c>
      <c r="Z254" s="9">
        <v>0.9151397857284129</v>
      </c>
      <c r="AA254" s="3" t="str">
        <f t="shared" si="5"/>
        <v>OK</v>
      </c>
    </row>
    <row r="255" ht="15.75" customHeight="1">
      <c r="A255" s="3">
        <v>254.0</v>
      </c>
      <c r="B255" s="3" t="s">
        <v>20</v>
      </c>
      <c r="C255" s="7">
        <v>35.666356</v>
      </c>
      <c r="D255" s="7">
        <v>139.721528</v>
      </c>
      <c r="E255" s="3">
        <v>1.0</v>
      </c>
      <c r="F255" s="3" t="s">
        <v>55</v>
      </c>
      <c r="G255" s="5">
        <f>(C255-'Pesos GPS'!$L$4)/'Pesos GPS'!$L$5</f>
        <v>-1.004135265</v>
      </c>
      <c r="H255" s="5">
        <f>(D255-'Pesos GPS'!$L$6)/'Pesos GPS'!$L$7</f>
        <v>1.000682628</v>
      </c>
      <c r="I255" s="5">
        <f>MAX(0,G255*'Pesos GPS'!B$6+H255*'Pesos GPS'!B$7+'Pesos GPS'!B$8)</f>
        <v>0</v>
      </c>
      <c r="J255" s="5">
        <f>MAX(0,G255*'Pesos GPS'!C$6+H255*'Pesos GPS'!C$7+'Pesos GPS'!C$8)</f>
        <v>0</v>
      </c>
      <c r="K255" s="5">
        <f>MAX(0,G255*'Pesos GPS'!D$6+H255*'Pesos GPS'!D$7+'Pesos GPS'!D$8)</f>
        <v>0</v>
      </c>
      <c r="L255" s="5">
        <f>MAX(0,G255*'Pesos GPS'!E$6+H255*'Pesos GPS'!E$7+'Pesos GPS'!E$8)</f>
        <v>0</v>
      </c>
      <c r="M255" s="5">
        <f>MAX(0,I255*'Pesos GPS'!B$13+J255*'Pesos GPS'!B$14+K255*'Pesos GPS'!B$15+L255*'Pesos GPS'!B$16+'Pesos GPS'!B$17)</f>
        <v>0</v>
      </c>
      <c r="N255" s="5">
        <f>MAX(0,I255*'Pesos GPS'!C$13+J255*'Pesos GPS'!C$14+K255*'Pesos GPS'!C$15+L255*'Pesos GPS'!C$16+'Pesos GPS'!C$17)</f>
        <v>0</v>
      </c>
      <c r="O255" s="5">
        <f>MAX(0,I255*'Pesos GPS'!D$13+J255*'Pesos GPS'!D$14+K255*'Pesos GPS'!D$15+L255*'Pesos GPS'!D$16+'Pesos GPS'!D$17)</f>
        <v>0</v>
      </c>
      <c r="P255" s="5">
        <f>MAX(0,I255*'Pesos GPS'!E$13+J255*'Pesos GPS'!E$14+K255*'Pesos GPS'!E$15+L255*'Pesos GPS'!E$16+'Pesos GPS'!E$17)</f>
        <v>0</v>
      </c>
      <c r="Q255" s="5">
        <f>MAX(0,I255*'Pesos GPS'!F$13+J255*'Pesos GPS'!F$14+K255*'Pesos GPS'!F$15+L255*'Pesos GPS'!F$16+'Pesos GPS'!F$17)</f>
        <v>0</v>
      </c>
      <c r="R255" s="5">
        <f>MAX(0,I255*'Pesos GPS'!G$13+J255*'Pesos GPS'!G$14+K255*'Pesos GPS'!G$15+L255*'Pesos GPS'!G$16+'Pesos GPS'!G$17)</f>
        <v>0</v>
      </c>
      <c r="S255" s="5">
        <f>MAX(0,I255*'Pesos GPS'!H$13+J255*'Pesos GPS'!H$14+K255*'Pesos GPS'!H$15+L255*'Pesos GPS'!H$16+'Pesos GPS'!H$17)</f>
        <v>0</v>
      </c>
      <c r="T255" s="5">
        <f>MAX(0,I255*'Pesos GPS'!I$13+J255*'Pesos GPS'!I$14+K255*'Pesos GPS'!I$15+L255*'Pesos GPS'!I$16+'Pesos GPS'!I$17)</f>
        <v>0</v>
      </c>
      <c r="U255" s="5">
        <f>M255*'Pesos GPS'!$B$22+N255*'Pesos GPS'!$B$23+O255*'Pesos GPS'!$B$24+P255*'Pesos GPS'!$B$25+Q255*'Pesos GPS'!$B$26+R255*'Pesos GPS'!$B$27+S255*'Pesos GPS'!$B$28+T255*'Pesos GPS'!$B$29+'Pesos GPS'!$B$30</f>
        <v>2.37807146</v>
      </c>
      <c r="V255" s="5">
        <f t="shared" si="1"/>
        <v>0.9151397857</v>
      </c>
      <c r="W255" s="3">
        <f t="shared" si="2"/>
        <v>1</v>
      </c>
      <c r="X255" s="3">
        <f t="shared" si="3"/>
        <v>1</v>
      </c>
      <c r="Y255" s="9">
        <f t="shared" si="4"/>
        <v>0</v>
      </c>
      <c r="Z255" s="9">
        <v>0.9151397857284129</v>
      </c>
      <c r="AA255" s="3" t="str">
        <f t="shared" si="5"/>
        <v>OK</v>
      </c>
    </row>
    <row r="256" ht="15.75" customHeight="1">
      <c r="A256" s="3">
        <v>255.0</v>
      </c>
      <c r="B256" s="3" t="s">
        <v>20</v>
      </c>
      <c r="C256" s="7">
        <v>35.689229</v>
      </c>
      <c r="D256" s="7">
        <v>139.647252</v>
      </c>
      <c r="E256" s="3">
        <v>1.0</v>
      </c>
      <c r="F256" s="3" t="s">
        <v>55</v>
      </c>
      <c r="G256" s="5">
        <f>(C256-'Pesos GPS'!$L$4)/'Pesos GPS'!$L$5</f>
        <v>-0.9950500382</v>
      </c>
      <c r="H256" s="5">
        <f>(D256-'Pesos GPS'!$L$6)/'Pesos GPS'!$L$7</f>
        <v>0.99998734</v>
      </c>
      <c r="I256" s="5">
        <f>MAX(0,G256*'Pesos GPS'!B$6+H256*'Pesos GPS'!B$7+'Pesos GPS'!B$8)</f>
        <v>0</v>
      </c>
      <c r="J256" s="5">
        <f>MAX(0,G256*'Pesos GPS'!C$6+H256*'Pesos GPS'!C$7+'Pesos GPS'!C$8)</f>
        <v>0</v>
      </c>
      <c r="K256" s="5">
        <f>MAX(0,G256*'Pesos GPS'!D$6+H256*'Pesos GPS'!D$7+'Pesos GPS'!D$8)</f>
        <v>0</v>
      </c>
      <c r="L256" s="5">
        <f>MAX(0,G256*'Pesos GPS'!E$6+H256*'Pesos GPS'!E$7+'Pesos GPS'!E$8)</f>
        <v>0</v>
      </c>
      <c r="M256" s="5">
        <f>MAX(0,I256*'Pesos GPS'!B$13+J256*'Pesos GPS'!B$14+K256*'Pesos GPS'!B$15+L256*'Pesos GPS'!B$16+'Pesos GPS'!B$17)</f>
        <v>0</v>
      </c>
      <c r="N256" s="5">
        <f>MAX(0,I256*'Pesos GPS'!C$13+J256*'Pesos GPS'!C$14+K256*'Pesos GPS'!C$15+L256*'Pesos GPS'!C$16+'Pesos GPS'!C$17)</f>
        <v>0</v>
      </c>
      <c r="O256" s="5">
        <f>MAX(0,I256*'Pesos GPS'!D$13+J256*'Pesos GPS'!D$14+K256*'Pesos GPS'!D$15+L256*'Pesos GPS'!D$16+'Pesos GPS'!D$17)</f>
        <v>0</v>
      </c>
      <c r="P256" s="5">
        <f>MAX(0,I256*'Pesos GPS'!E$13+J256*'Pesos GPS'!E$14+K256*'Pesos GPS'!E$15+L256*'Pesos GPS'!E$16+'Pesos GPS'!E$17)</f>
        <v>0</v>
      </c>
      <c r="Q256" s="5">
        <f>MAX(0,I256*'Pesos GPS'!F$13+J256*'Pesos GPS'!F$14+K256*'Pesos GPS'!F$15+L256*'Pesos GPS'!F$16+'Pesos GPS'!F$17)</f>
        <v>0</v>
      </c>
      <c r="R256" s="5">
        <f>MAX(0,I256*'Pesos GPS'!G$13+J256*'Pesos GPS'!G$14+K256*'Pesos GPS'!G$15+L256*'Pesos GPS'!G$16+'Pesos GPS'!G$17)</f>
        <v>0</v>
      </c>
      <c r="S256" s="5">
        <f>MAX(0,I256*'Pesos GPS'!H$13+J256*'Pesos GPS'!H$14+K256*'Pesos GPS'!H$15+L256*'Pesos GPS'!H$16+'Pesos GPS'!H$17)</f>
        <v>0</v>
      </c>
      <c r="T256" s="5">
        <f>MAX(0,I256*'Pesos GPS'!I$13+J256*'Pesos GPS'!I$14+K256*'Pesos GPS'!I$15+L256*'Pesos GPS'!I$16+'Pesos GPS'!I$17)</f>
        <v>0</v>
      </c>
      <c r="U256" s="5">
        <f>M256*'Pesos GPS'!$B$22+N256*'Pesos GPS'!$B$23+O256*'Pesos GPS'!$B$24+P256*'Pesos GPS'!$B$25+Q256*'Pesos GPS'!$B$26+R256*'Pesos GPS'!$B$27+S256*'Pesos GPS'!$B$28+T256*'Pesos GPS'!$B$29+'Pesos GPS'!$B$30</f>
        <v>2.37807146</v>
      </c>
      <c r="V256" s="5">
        <f t="shared" si="1"/>
        <v>0.9151397857</v>
      </c>
      <c r="W256" s="3">
        <f t="shared" si="2"/>
        <v>1</v>
      </c>
      <c r="X256" s="3">
        <f t="shared" si="3"/>
        <v>1</v>
      </c>
      <c r="Y256" s="9">
        <f t="shared" si="4"/>
        <v>0</v>
      </c>
      <c r="Z256" s="9">
        <v>0.9151397857284129</v>
      </c>
      <c r="AA256" s="3" t="str">
        <f t="shared" si="5"/>
        <v>OK</v>
      </c>
    </row>
    <row r="257" ht="15.75" customHeight="1">
      <c r="A257" s="3">
        <v>256.0</v>
      </c>
      <c r="B257" s="3" t="s">
        <v>20</v>
      </c>
      <c r="C257" s="7">
        <v>35.669554</v>
      </c>
      <c r="D257" s="7">
        <v>139.639552</v>
      </c>
      <c r="E257" s="3">
        <v>1.0</v>
      </c>
      <c r="F257" s="3" t="s">
        <v>55</v>
      </c>
      <c r="G257" s="5">
        <f>(C257-'Pesos GPS'!$L$4)/'Pesos GPS'!$L$5</f>
        <v>-1.002865009</v>
      </c>
      <c r="H257" s="5">
        <f>(D257-'Pesos GPS'!$L$6)/'Pesos GPS'!$L$7</f>
        <v>0.9999152613</v>
      </c>
      <c r="I257" s="5">
        <f>MAX(0,G257*'Pesos GPS'!B$6+H257*'Pesos GPS'!B$7+'Pesos GPS'!B$8)</f>
        <v>0</v>
      </c>
      <c r="J257" s="5">
        <f>MAX(0,G257*'Pesos GPS'!C$6+H257*'Pesos GPS'!C$7+'Pesos GPS'!C$8)</f>
        <v>0</v>
      </c>
      <c r="K257" s="5">
        <f>MAX(0,G257*'Pesos GPS'!D$6+H257*'Pesos GPS'!D$7+'Pesos GPS'!D$8)</f>
        <v>0</v>
      </c>
      <c r="L257" s="5">
        <f>MAX(0,G257*'Pesos GPS'!E$6+H257*'Pesos GPS'!E$7+'Pesos GPS'!E$8)</f>
        <v>0</v>
      </c>
      <c r="M257" s="5">
        <f>MAX(0,I257*'Pesos GPS'!B$13+J257*'Pesos GPS'!B$14+K257*'Pesos GPS'!B$15+L257*'Pesos GPS'!B$16+'Pesos GPS'!B$17)</f>
        <v>0</v>
      </c>
      <c r="N257" s="5">
        <f>MAX(0,I257*'Pesos GPS'!C$13+J257*'Pesos GPS'!C$14+K257*'Pesos GPS'!C$15+L257*'Pesos GPS'!C$16+'Pesos GPS'!C$17)</f>
        <v>0</v>
      </c>
      <c r="O257" s="5">
        <f>MAX(0,I257*'Pesos GPS'!D$13+J257*'Pesos GPS'!D$14+K257*'Pesos GPS'!D$15+L257*'Pesos GPS'!D$16+'Pesos GPS'!D$17)</f>
        <v>0</v>
      </c>
      <c r="P257" s="5">
        <f>MAX(0,I257*'Pesos GPS'!E$13+J257*'Pesos GPS'!E$14+K257*'Pesos GPS'!E$15+L257*'Pesos GPS'!E$16+'Pesos GPS'!E$17)</f>
        <v>0</v>
      </c>
      <c r="Q257" s="5">
        <f>MAX(0,I257*'Pesos GPS'!F$13+J257*'Pesos GPS'!F$14+K257*'Pesos GPS'!F$15+L257*'Pesos GPS'!F$16+'Pesos GPS'!F$17)</f>
        <v>0</v>
      </c>
      <c r="R257" s="5">
        <f>MAX(0,I257*'Pesos GPS'!G$13+J257*'Pesos GPS'!G$14+K257*'Pesos GPS'!G$15+L257*'Pesos GPS'!G$16+'Pesos GPS'!G$17)</f>
        <v>0</v>
      </c>
      <c r="S257" s="5">
        <f>MAX(0,I257*'Pesos GPS'!H$13+J257*'Pesos GPS'!H$14+K257*'Pesos GPS'!H$15+L257*'Pesos GPS'!H$16+'Pesos GPS'!H$17)</f>
        <v>0</v>
      </c>
      <c r="T257" s="5">
        <f>MAX(0,I257*'Pesos GPS'!I$13+J257*'Pesos GPS'!I$14+K257*'Pesos GPS'!I$15+L257*'Pesos GPS'!I$16+'Pesos GPS'!I$17)</f>
        <v>0</v>
      </c>
      <c r="U257" s="5">
        <f>M257*'Pesos GPS'!$B$22+N257*'Pesos GPS'!$B$23+O257*'Pesos GPS'!$B$24+P257*'Pesos GPS'!$B$25+Q257*'Pesos GPS'!$B$26+R257*'Pesos GPS'!$B$27+S257*'Pesos GPS'!$B$28+T257*'Pesos GPS'!$B$29+'Pesos GPS'!$B$30</f>
        <v>2.37807146</v>
      </c>
      <c r="V257" s="5">
        <f t="shared" si="1"/>
        <v>0.9151397857</v>
      </c>
      <c r="W257" s="3">
        <f t="shared" si="2"/>
        <v>1</v>
      </c>
      <c r="X257" s="3">
        <f t="shared" si="3"/>
        <v>1</v>
      </c>
      <c r="Y257" s="9">
        <f t="shared" si="4"/>
        <v>0</v>
      </c>
      <c r="Z257" s="9">
        <v>0.9151397857284129</v>
      </c>
      <c r="AA257" s="3" t="str">
        <f t="shared" si="5"/>
        <v>OK</v>
      </c>
    </row>
    <row r="258" ht="15.75" customHeight="1">
      <c r="A258" s="3">
        <v>257.0</v>
      </c>
      <c r="B258" s="3" t="s">
        <v>20</v>
      </c>
      <c r="C258" s="7">
        <v>35.673261</v>
      </c>
      <c r="D258" s="7">
        <v>139.623927</v>
      </c>
      <c r="E258" s="3">
        <v>1.0</v>
      </c>
      <c r="F258" s="3" t="s">
        <v>55</v>
      </c>
      <c r="G258" s="5">
        <f>(C258-'Pesos GPS'!$L$4)/'Pesos GPS'!$L$5</f>
        <v>-1.001392577</v>
      </c>
      <c r="H258" s="5">
        <f>(D258-'Pesos GPS'!$L$6)/'Pesos GPS'!$L$7</f>
        <v>0.9997689978</v>
      </c>
      <c r="I258" s="5">
        <f>MAX(0,G258*'Pesos GPS'!B$6+H258*'Pesos GPS'!B$7+'Pesos GPS'!B$8)</f>
        <v>0</v>
      </c>
      <c r="J258" s="5">
        <f>MAX(0,G258*'Pesos GPS'!C$6+H258*'Pesos GPS'!C$7+'Pesos GPS'!C$8)</f>
        <v>0</v>
      </c>
      <c r="K258" s="5">
        <f>MAX(0,G258*'Pesos GPS'!D$6+H258*'Pesos GPS'!D$7+'Pesos GPS'!D$8)</f>
        <v>0</v>
      </c>
      <c r="L258" s="5">
        <f>MAX(0,G258*'Pesos GPS'!E$6+H258*'Pesos GPS'!E$7+'Pesos GPS'!E$8)</f>
        <v>0</v>
      </c>
      <c r="M258" s="5">
        <f>MAX(0,I258*'Pesos GPS'!B$13+J258*'Pesos GPS'!B$14+K258*'Pesos GPS'!B$15+L258*'Pesos GPS'!B$16+'Pesos GPS'!B$17)</f>
        <v>0</v>
      </c>
      <c r="N258" s="5">
        <f>MAX(0,I258*'Pesos GPS'!C$13+J258*'Pesos GPS'!C$14+K258*'Pesos GPS'!C$15+L258*'Pesos GPS'!C$16+'Pesos GPS'!C$17)</f>
        <v>0</v>
      </c>
      <c r="O258" s="5">
        <f>MAX(0,I258*'Pesos GPS'!D$13+J258*'Pesos GPS'!D$14+K258*'Pesos GPS'!D$15+L258*'Pesos GPS'!D$16+'Pesos GPS'!D$17)</f>
        <v>0</v>
      </c>
      <c r="P258" s="5">
        <f>MAX(0,I258*'Pesos GPS'!E$13+J258*'Pesos GPS'!E$14+K258*'Pesos GPS'!E$15+L258*'Pesos GPS'!E$16+'Pesos GPS'!E$17)</f>
        <v>0</v>
      </c>
      <c r="Q258" s="5">
        <f>MAX(0,I258*'Pesos GPS'!F$13+J258*'Pesos GPS'!F$14+K258*'Pesos GPS'!F$15+L258*'Pesos GPS'!F$16+'Pesos GPS'!F$17)</f>
        <v>0</v>
      </c>
      <c r="R258" s="5">
        <f>MAX(0,I258*'Pesos GPS'!G$13+J258*'Pesos GPS'!G$14+K258*'Pesos GPS'!G$15+L258*'Pesos GPS'!G$16+'Pesos GPS'!G$17)</f>
        <v>0</v>
      </c>
      <c r="S258" s="5">
        <f>MAX(0,I258*'Pesos GPS'!H$13+J258*'Pesos GPS'!H$14+K258*'Pesos GPS'!H$15+L258*'Pesos GPS'!H$16+'Pesos GPS'!H$17)</f>
        <v>0</v>
      </c>
      <c r="T258" s="5">
        <f>MAX(0,I258*'Pesos GPS'!I$13+J258*'Pesos GPS'!I$14+K258*'Pesos GPS'!I$15+L258*'Pesos GPS'!I$16+'Pesos GPS'!I$17)</f>
        <v>0</v>
      </c>
      <c r="U258" s="5">
        <f>M258*'Pesos GPS'!$B$22+N258*'Pesos GPS'!$B$23+O258*'Pesos GPS'!$B$24+P258*'Pesos GPS'!$B$25+Q258*'Pesos GPS'!$B$26+R258*'Pesos GPS'!$B$27+S258*'Pesos GPS'!$B$28+T258*'Pesos GPS'!$B$29+'Pesos GPS'!$B$30</f>
        <v>2.37807146</v>
      </c>
      <c r="V258" s="5">
        <f t="shared" si="1"/>
        <v>0.9151397857</v>
      </c>
      <c r="W258" s="3">
        <f t="shared" si="2"/>
        <v>1</v>
      </c>
      <c r="X258" s="3">
        <f t="shared" si="3"/>
        <v>1</v>
      </c>
      <c r="Y258" s="9">
        <f t="shared" si="4"/>
        <v>0</v>
      </c>
      <c r="Z258" s="9">
        <v>0.9151397857284129</v>
      </c>
      <c r="AA258" s="3" t="str">
        <f t="shared" si="5"/>
        <v>OK</v>
      </c>
    </row>
    <row r="259" ht="15.75" customHeight="1">
      <c r="A259" s="3">
        <v>258.0</v>
      </c>
      <c r="B259" s="3" t="s">
        <v>20</v>
      </c>
      <c r="C259" s="7">
        <v>35.696938</v>
      </c>
      <c r="D259" s="7">
        <v>139.614171</v>
      </c>
      <c r="E259" s="3">
        <v>1.0</v>
      </c>
      <c r="F259" s="3" t="s">
        <v>55</v>
      </c>
      <c r="G259" s="5">
        <f>(C259-'Pesos GPS'!$L$4)/'Pesos GPS'!$L$5</f>
        <v>-0.9919879994</v>
      </c>
      <c r="H259" s="5">
        <f>(D259-'Pesos GPS'!$L$6)/'Pesos GPS'!$L$7</f>
        <v>0.9996776732</v>
      </c>
      <c r="I259" s="5">
        <f>MAX(0,G259*'Pesos GPS'!B$6+H259*'Pesos GPS'!B$7+'Pesos GPS'!B$8)</f>
        <v>0</v>
      </c>
      <c r="J259" s="5">
        <f>MAX(0,G259*'Pesos GPS'!C$6+H259*'Pesos GPS'!C$7+'Pesos GPS'!C$8)</f>
        <v>0</v>
      </c>
      <c r="K259" s="5">
        <f>MAX(0,G259*'Pesos GPS'!D$6+H259*'Pesos GPS'!D$7+'Pesos GPS'!D$8)</f>
        <v>0</v>
      </c>
      <c r="L259" s="5">
        <f>MAX(0,G259*'Pesos GPS'!E$6+H259*'Pesos GPS'!E$7+'Pesos GPS'!E$8)</f>
        <v>0</v>
      </c>
      <c r="M259" s="5">
        <f>MAX(0,I259*'Pesos GPS'!B$13+J259*'Pesos GPS'!B$14+K259*'Pesos GPS'!B$15+L259*'Pesos GPS'!B$16+'Pesos GPS'!B$17)</f>
        <v>0</v>
      </c>
      <c r="N259" s="5">
        <f>MAX(0,I259*'Pesos GPS'!C$13+J259*'Pesos GPS'!C$14+K259*'Pesos GPS'!C$15+L259*'Pesos GPS'!C$16+'Pesos GPS'!C$17)</f>
        <v>0</v>
      </c>
      <c r="O259" s="5">
        <f>MAX(0,I259*'Pesos GPS'!D$13+J259*'Pesos GPS'!D$14+K259*'Pesos GPS'!D$15+L259*'Pesos GPS'!D$16+'Pesos GPS'!D$17)</f>
        <v>0</v>
      </c>
      <c r="P259" s="5">
        <f>MAX(0,I259*'Pesos GPS'!E$13+J259*'Pesos GPS'!E$14+K259*'Pesos GPS'!E$15+L259*'Pesos GPS'!E$16+'Pesos GPS'!E$17)</f>
        <v>0</v>
      </c>
      <c r="Q259" s="5">
        <f>MAX(0,I259*'Pesos GPS'!F$13+J259*'Pesos GPS'!F$14+K259*'Pesos GPS'!F$15+L259*'Pesos GPS'!F$16+'Pesos GPS'!F$17)</f>
        <v>0</v>
      </c>
      <c r="R259" s="5">
        <f>MAX(0,I259*'Pesos GPS'!G$13+J259*'Pesos GPS'!G$14+K259*'Pesos GPS'!G$15+L259*'Pesos GPS'!G$16+'Pesos GPS'!G$17)</f>
        <v>0</v>
      </c>
      <c r="S259" s="5">
        <f>MAX(0,I259*'Pesos GPS'!H$13+J259*'Pesos GPS'!H$14+K259*'Pesos GPS'!H$15+L259*'Pesos GPS'!H$16+'Pesos GPS'!H$17)</f>
        <v>0</v>
      </c>
      <c r="T259" s="5">
        <f>MAX(0,I259*'Pesos GPS'!I$13+J259*'Pesos GPS'!I$14+K259*'Pesos GPS'!I$15+L259*'Pesos GPS'!I$16+'Pesos GPS'!I$17)</f>
        <v>0</v>
      </c>
      <c r="U259" s="5">
        <f>M259*'Pesos GPS'!$B$22+N259*'Pesos GPS'!$B$23+O259*'Pesos GPS'!$B$24+P259*'Pesos GPS'!$B$25+Q259*'Pesos GPS'!$B$26+R259*'Pesos GPS'!$B$27+S259*'Pesos GPS'!$B$28+T259*'Pesos GPS'!$B$29+'Pesos GPS'!$B$30</f>
        <v>2.37807146</v>
      </c>
      <c r="V259" s="5">
        <f t="shared" si="1"/>
        <v>0.9151397857</v>
      </c>
      <c r="W259" s="3">
        <f t="shared" si="2"/>
        <v>1</v>
      </c>
      <c r="X259" s="3">
        <f t="shared" si="3"/>
        <v>1</v>
      </c>
      <c r="Y259" s="9">
        <f t="shared" si="4"/>
        <v>0</v>
      </c>
      <c r="Z259" s="9">
        <v>0.9151397857284129</v>
      </c>
      <c r="AA259" s="3" t="str">
        <f t="shared" si="5"/>
        <v>OK</v>
      </c>
    </row>
    <row r="260" ht="15.75" customHeight="1">
      <c r="A260" s="3">
        <v>259.0</v>
      </c>
      <c r="B260" s="3" t="s">
        <v>20</v>
      </c>
      <c r="C260" s="7">
        <v>35.626373</v>
      </c>
      <c r="D260" s="7">
        <v>139.606743</v>
      </c>
      <c r="E260" s="3">
        <v>1.0</v>
      </c>
      <c r="F260" s="3" t="s">
        <v>55</v>
      </c>
      <c r="G260" s="5">
        <f>(C260-'Pesos GPS'!$L$4)/'Pesos GPS'!$L$5</f>
        <v>-1.020016637</v>
      </c>
      <c r="H260" s="5">
        <f>(D260-'Pesos GPS'!$L$6)/'Pesos GPS'!$L$7</f>
        <v>0.9996081406</v>
      </c>
      <c r="I260" s="5">
        <f>MAX(0,G260*'Pesos GPS'!B$6+H260*'Pesos GPS'!B$7+'Pesos GPS'!B$8)</f>
        <v>0</v>
      </c>
      <c r="J260" s="5">
        <f>MAX(0,G260*'Pesos GPS'!C$6+H260*'Pesos GPS'!C$7+'Pesos GPS'!C$8)</f>
        <v>0</v>
      </c>
      <c r="K260" s="5">
        <f>MAX(0,G260*'Pesos GPS'!D$6+H260*'Pesos GPS'!D$7+'Pesos GPS'!D$8)</f>
        <v>0</v>
      </c>
      <c r="L260" s="5">
        <f>MAX(0,G260*'Pesos GPS'!E$6+H260*'Pesos GPS'!E$7+'Pesos GPS'!E$8)</f>
        <v>0</v>
      </c>
      <c r="M260" s="5">
        <f>MAX(0,I260*'Pesos GPS'!B$13+J260*'Pesos GPS'!B$14+K260*'Pesos GPS'!B$15+L260*'Pesos GPS'!B$16+'Pesos GPS'!B$17)</f>
        <v>0</v>
      </c>
      <c r="N260" s="5">
        <f>MAX(0,I260*'Pesos GPS'!C$13+J260*'Pesos GPS'!C$14+K260*'Pesos GPS'!C$15+L260*'Pesos GPS'!C$16+'Pesos GPS'!C$17)</f>
        <v>0</v>
      </c>
      <c r="O260" s="5">
        <f>MAX(0,I260*'Pesos GPS'!D$13+J260*'Pesos GPS'!D$14+K260*'Pesos GPS'!D$15+L260*'Pesos GPS'!D$16+'Pesos GPS'!D$17)</f>
        <v>0</v>
      </c>
      <c r="P260" s="5">
        <f>MAX(0,I260*'Pesos GPS'!E$13+J260*'Pesos GPS'!E$14+K260*'Pesos GPS'!E$15+L260*'Pesos GPS'!E$16+'Pesos GPS'!E$17)</f>
        <v>0</v>
      </c>
      <c r="Q260" s="5">
        <f>MAX(0,I260*'Pesos GPS'!F$13+J260*'Pesos GPS'!F$14+K260*'Pesos GPS'!F$15+L260*'Pesos GPS'!F$16+'Pesos GPS'!F$17)</f>
        <v>0</v>
      </c>
      <c r="R260" s="5">
        <f>MAX(0,I260*'Pesos GPS'!G$13+J260*'Pesos GPS'!G$14+K260*'Pesos GPS'!G$15+L260*'Pesos GPS'!G$16+'Pesos GPS'!G$17)</f>
        <v>0</v>
      </c>
      <c r="S260" s="5">
        <f>MAX(0,I260*'Pesos GPS'!H$13+J260*'Pesos GPS'!H$14+K260*'Pesos GPS'!H$15+L260*'Pesos GPS'!H$16+'Pesos GPS'!H$17)</f>
        <v>0</v>
      </c>
      <c r="T260" s="5">
        <f>MAX(0,I260*'Pesos GPS'!I$13+J260*'Pesos GPS'!I$14+K260*'Pesos GPS'!I$15+L260*'Pesos GPS'!I$16+'Pesos GPS'!I$17)</f>
        <v>0</v>
      </c>
      <c r="U260" s="5">
        <f>M260*'Pesos GPS'!$B$22+N260*'Pesos GPS'!$B$23+O260*'Pesos GPS'!$B$24+P260*'Pesos GPS'!$B$25+Q260*'Pesos GPS'!$B$26+R260*'Pesos GPS'!$B$27+S260*'Pesos GPS'!$B$28+T260*'Pesos GPS'!$B$29+'Pesos GPS'!$B$30</f>
        <v>2.37807146</v>
      </c>
      <c r="V260" s="5">
        <f t="shared" si="1"/>
        <v>0.9151397857</v>
      </c>
      <c r="W260" s="3">
        <f t="shared" si="2"/>
        <v>1</v>
      </c>
      <c r="X260" s="3">
        <f t="shared" si="3"/>
        <v>1</v>
      </c>
      <c r="Y260" s="9">
        <f t="shared" si="4"/>
        <v>0</v>
      </c>
      <c r="Z260" s="9">
        <v>0.9151397857284129</v>
      </c>
      <c r="AA260" s="3" t="str">
        <f t="shared" si="5"/>
        <v>OK</v>
      </c>
    </row>
    <row r="261" ht="15.75" customHeight="1">
      <c r="A261" s="3">
        <v>260.0</v>
      </c>
      <c r="B261" s="3" t="s">
        <v>20</v>
      </c>
      <c r="C261" s="7">
        <v>35.643788</v>
      </c>
      <c r="D261" s="7">
        <v>139.619192</v>
      </c>
      <c r="E261" s="3">
        <v>1.0</v>
      </c>
      <c r="F261" s="3" t="s">
        <v>55</v>
      </c>
      <c r="G261" s="5">
        <f>(C261-'Pesos GPS'!$L$4)/'Pesos GPS'!$L$5</f>
        <v>-1.013099345</v>
      </c>
      <c r="H261" s="5">
        <f>(D261-'Pesos GPS'!$L$6)/'Pesos GPS'!$L$7</f>
        <v>0.9997246741</v>
      </c>
      <c r="I261" s="5">
        <f>MAX(0,G261*'Pesos GPS'!B$6+H261*'Pesos GPS'!B$7+'Pesos GPS'!B$8)</f>
        <v>0</v>
      </c>
      <c r="J261" s="5">
        <f>MAX(0,G261*'Pesos GPS'!C$6+H261*'Pesos GPS'!C$7+'Pesos GPS'!C$8)</f>
        <v>0</v>
      </c>
      <c r="K261" s="5">
        <f>MAX(0,G261*'Pesos GPS'!D$6+H261*'Pesos GPS'!D$7+'Pesos GPS'!D$8)</f>
        <v>0</v>
      </c>
      <c r="L261" s="5">
        <f>MAX(0,G261*'Pesos GPS'!E$6+H261*'Pesos GPS'!E$7+'Pesos GPS'!E$8)</f>
        <v>0</v>
      </c>
      <c r="M261" s="5">
        <f>MAX(0,I261*'Pesos GPS'!B$13+J261*'Pesos GPS'!B$14+K261*'Pesos GPS'!B$15+L261*'Pesos GPS'!B$16+'Pesos GPS'!B$17)</f>
        <v>0</v>
      </c>
      <c r="N261" s="5">
        <f>MAX(0,I261*'Pesos GPS'!C$13+J261*'Pesos GPS'!C$14+K261*'Pesos GPS'!C$15+L261*'Pesos GPS'!C$16+'Pesos GPS'!C$17)</f>
        <v>0</v>
      </c>
      <c r="O261" s="5">
        <f>MAX(0,I261*'Pesos GPS'!D$13+J261*'Pesos GPS'!D$14+K261*'Pesos GPS'!D$15+L261*'Pesos GPS'!D$16+'Pesos GPS'!D$17)</f>
        <v>0</v>
      </c>
      <c r="P261" s="5">
        <f>MAX(0,I261*'Pesos GPS'!E$13+J261*'Pesos GPS'!E$14+K261*'Pesos GPS'!E$15+L261*'Pesos GPS'!E$16+'Pesos GPS'!E$17)</f>
        <v>0</v>
      </c>
      <c r="Q261" s="5">
        <f>MAX(0,I261*'Pesos GPS'!F$13+J261*'Pesos GPS'!F$14+K261*'Pesos GPS'!F$15+L261*'Pesos GPS'!F$16+'Pesos GPS'!F$17)</f>
        <v>0</v>
      </c>
      <c r="R261" s="5">
        <f>MAX(0,I261*'Pesos GPS'!G$13+J261*'Pesos GPS'!G$14+K261*'Pesos GPS'!G$15+L261*'Pesos GPS'!G$16+'Pesos GPS'!G$17)</f>
        <v>0</v>
      </c>
      <c r="S261" s="5">
        <f>MAX(0,I261*'Pesos GPS'!H$13+J261*'Pesos GPS'!H$14+K261*'Pesos GPS'!H$15+L261*'Pesos GPS'!H$16+'Pesos GPS'!H$17)</f>
        <v>0</v>
      </c>
      <c r="T261" s="5">
        <f>MAX(0,I261*'Pesos GPS'!I$13+J261*'Pesos GPS'!I$14+K261*'Pesos GPS'!I$15+L261*'Pesos GPS'!I$16+'Pesos GPS'!I$17)</f>
        <v>0</v>
      </c>
      <c r="U261" s="5">
        <f>M261*'Pesos GPS'!$B$22+N261*'Pesos GPS'!$B$23+O261*'Pesos GPS'!$B$24+P261*'Pesos GPS'!$B$25+Q261*'Pesos GPS'!$B$26+R261*'Pesos GPS'!$B$27+S261*'Pesos GPS'!$B$28+T261*'Pesos GPS'!$B$29+'Pesos GPS'!$B$30</f>
        <v>2.37807146</v>
      </c>
      <c r="V261" s="5">
        <f t="shared" si="1"/>
        <v>0.9151397857</v>
      </c>
      <c r="W261" s="3">
        <f t="shared" si="2"/>
        <v>1</v>
      </c>
      <c r="X261" s="3">
        <f t="shared" si="3"/>
        <v>1</v>
      </c>
      <c r="Y261" s="9">
        <f t="shared" si="4"/>
        <v>0</v>
      </c>
      <c r="Z261" s="9">
        <v>0.9151397857284129</v>
      </c>
      <c r="AA261" s="3" t="str">
        <f t="shared" si="5"/>
        <v>OK</v>
      </c>
    </row>
    <row r="262" ht="15.75" customHeight="1">
      <c r="A262" s="3">
        <v>261.0</v>
      </c>
      <c r="B262" s="3" t="s">
        <v>20</v>
      </c>
      <c r="C262" s="7">
        <v>35.639145</v>
      </c>
      <c r="D262" s="7">
        <v>139.647826</v>
      </c>
      <c r="E262" s="3">
        <v>1.0</v>
      </c>
      <c r="F262" s="3" t="s">
        <v>55</v>
      </c>
      <c r="G262" s="5">
        <f>(C262-'Pesos GPS'!$L$4)/'Pesos GPS'!$L$5</f>
        <v>-1.014943559</v>
      </c>
      <c r="H262" s="5">
        <f>(D262-'Pesos GPS'!$L$6)/'Pesos GPS'!$L$7</f>
        <v>0.9999927132</v>
      </c>
      <c r="I262" s="5">
        <f>MAX(0,G262*'Pesos GPS'!B$6+H262*'Pesos GPS'!B$7+'Pesos GPS'!B$8)</f>
        <v>0</v>
      </c>
      <c r="J262" s="5">
        <f>MAX(0,G262*'Pesos GPS'!C$6+H262*'Pesos GPS'!C$7+'Pesos GPS'!C$8)</f>
        <v>0</v>
      </c>
      <c r="K262" s="5">
        <f>MAX(0,G262*'Pesos GPS'!D$6+H262*'Pesos GPS'!D$7+'Pesos GPS'!D$8)</f>
        <v>0</v>
      </c>
      <c r="L262" s="5">
        <f>MAX(0,G262*'Pesos GPS'!E$6+H262*'Pesos GPS'!E$7+'Pesos GPS'!E$8)</f>
        <v>0</v>
      </c>
      <c r="M262" s="5">
        <f>MAX(0,I262*'Pesos GPS'!B$13+J262*'Pesos GPS'!B$14+K262*'Pesos GPS'!B$15+L262*'Pesos GPS'!B$16+'Pesos GPS'!B$17)</f>
        <v>0</v>
      </c>
      <c r="N262" s="5">
        <f>MAX(0,I262*'Pesos GPS'!C$13+J262*'Pesos GPS'!C$14+K262*'Pesos GPS'!C$15+L262*'Pesos GPS'!C$16+'Pesos GPS'!C$17)</f>
        <v>0</v>
      </c>
      <c r="O262" s="5">
        <f>MAX(0,I262*'Pesos GPS'!D$13+J262*'Pesos GPS'!D$14+K262*'Pesos GPS'!D$15+L262*'Pesos GPS'!D$16+'Pesos GPS'!D$17)</f>
        <v>0</v>
      </c>
      <c r="P262" s="5">
        <f>MAX(0,I262*'Pesos GPS'!E$13+J262*'Pesos GPS'!E$14+K262*'Pesos GPS'!E$15+L262*'Pesos GPS'!E$16+'Pesos GPS'!E$17)</f>
        <v>0</v>
      </c>
      <c r="Q262" s="5">
        <f>MAX(0,I262*'Pesos GPS'!F$13+J262*'Pesos GPS'!F$14+K262*'Pesos GPS'!F$15+L262*'Pesos GPS'!F$16+'Pesos GPS'!F$17)</f>
        <v>0</v>
      </c>
      <c r="R262" s="5">
        <f>MAX(0,I262*'Pesos GPS'!G$13+J262*'Pesos GPS'!G$14+K262*'Pesos GPS'!G$15+L262*'Pesos GPS'!G$16+'Pesos GPS'!G$17)</f>
        <v>0</v>
      </c>
      <c r="S262" s="5">
        <f>MAX(0,I262*'Pesos GPS'!H$13+J262*'Pesos GPS'!H$14+K262*'Pesos GPS'!H$15+L262*'Pesos GPS'!H$16+'Pesos GPS'!H$17)</f>
        <v>0</v>
      </c>
      <c r="T262" s="5">
        <f>MAX(0,I262*'Pesos GPS'!I$13+J262*'Pesos GPS'!I$14+K262*'Pesos GPS'!I$15+L262*'Pesos GPS'!I$16+'Pesos GPS'!I$17)</f>
        <v>0</v>
      </c>
      <c r="U262" s="5">
        <f>M262*'Pesos GPS'!$B$22+N262*'Pesos GPS'!$B$23+O262*'Pesos GPS'!$B$24+P262*'Pesos GPS'!$B$25+Q262*'Pesos GPS'!$B$26+R262*'Pesos GPS'!$B$27+S262*'Pesos GPS'!$B$28+T262*'Pesos GPS'!$B$29+'Pesos GPS'!$B$30</f>
        <v>2.37807146</v>
      </c>
      <c r="V262" s="5">
        <f t="shared" si="1"/>
        <v>0.9151397857</v>
      </c>
      <c r="W262" s="3">
        <f t="shared" si="2"/>
        <v>1</v>
      </c>
      <c r="X262" s="3">
        <f t="shared" si="3"/>
        <v>1</v>
      </c>
      <c r="Y262" s="9">
        <f t="shared" si="4"/>
        <v>0</v>
      </c>
      <c r="Z262" s="9">
        <v>0.9151397857284129</v>
      </c>
      <c r="AA262" s="3" t="str">
        <f t="shared" si="5"/>
        <v>OK</v>
      </c>
    </row>
    <row r="263" ht="15.75" customHeight="1">
      <c r="A263" s="3">
        <v>262.0</v>
      </c>
      <c r="B263" s="3" t="s">
        <v>20</v>
      </c>
      <c r="C263" s="7">
        <v>35.61786</v>
      </c>
      <c r="D263" s="7">
        <v>139.662</v>
      </c>
      <c r="E263" s="3">
        <v>1.0</v>
      </c>
      <c r="F263" s="3" t="s">
        <v>55</v>
      </c>
      <c r="G263" s="5">
        <f>(C263-'Pesos GPS'!$L$4)/'Pesos GPS'!$L$5</f>
        <v>-1.023398027</v>
      </c>
      <c r="H263" s="5">
        <f>(D263-'Pesos GPS'!$L$6)/'Pesos GPS'!$L$7</f>
        <v>1.000125394</v>
      </c>
      <c r="I263" s="5">
        <f>MAX(0,G263*'Pesos GPS'!B$6+H263*'Pesos GPS'!B$7+'Pesos GPS'!B$8)</f>
        <v>0</v>
      </c>
      <c r="J263" s="5">
        <f>MAX(0,G263*'Pesos GPS'!C$6+H263*'Pesos GPS'!C$7+'Pesos GPS'!C$8)</f>
        <v>0</v>
      </c>
      <c r="K263" s="5">
        <f>MAX(0,G263*'Pesos GPS'!D$6+H263*'Pesos GPS'!D$7+'Pesos GPS'!D$8)</f>
        <v>0</v>
      </c>
      <c r="L263" s="5">
        <f>MAX(0,G263*'Pesos GPS'!E$6+H263*'Pesos GPS'!E$7+'Pesos GPS'!E$8)</f>
        <v>0</v>
      </c>
      <c r="M263" s="5">
        <f>MAX(0,I263*'Pesos GPS'!B$13+J263*'Pesos GPS'!B$14+K263*'Pesos GPS'!B$15+L263*'Pesos GPS'!B$16+'Pesos GPS'!B$17)</f>
        <v>0</v>
      </c>
      <c r="N263" s="5">
        <f>MAX(0,I263*'Pesos GPS'!C$13+J263*'Pesos GPS'!C$14+K263*'Pesos GPS'!C$15+L263*'Pesos GPS'!C$16+'Pesos GPS'!C$17)</f>
        <v>0</v>
      </c>
      <c r="O263" s="5">
        <f>MAX(0,I263*'Pesos GPS'!D$13+J263*'Pesos GPS'!D$14+K263*'Pesos GPS'!D$15+L263*'Pesos GPS'!D$16+'Pesos GPS'!D$17)</f>
        <v>0</v>
      </c>
      <c r="P263" s="5">
        <f>MAX(0,I263*'Pesos GPS'!E$13+J263*'Pesos GPS'!E$14+K263*'Pesos GPS'!E$15+L263*'Pesos GPS'!E$16+'Pesos GPS'!E$17)</f>
        <v>0</v>
      </c>
      <c r="Q263" s="5">
        <f>MAX(0,I263*'Pesos GPS'!F$13+J263*'Pesos GPS'!F$14+K263*'Pesos GPS'!F$15+L263*'Pesos GPS'!F$16+'Pesos GPS'!F$17)</f>
        <v>0</v>
      </c>
      <c r="R263" s="5">
        <f>MAX(0,I263*'Pesos GPS'!G$13+J263*'Pesos GPS'!G$14+K263*'Pesos GPS'!G$15+L263*'Pesos GPS'!G$16+'Pesos GPS'!G$17)</f>
        <v>0</v>
      </c>
      <c r="S263" s="5">
        <f>MAX(0,I263*'Pesos GPS'!H$13+J263*'Pesos GPS'!H$14+K263*'Pesos GPS'!H$15+L263*'Pesos GPS'!H$16+'Pesos GPS'!H$17)</f>
        <v>0</v>
      </c>
      <c r="T263" s="5">
        <f>MAX(0,I263*'Pesos GPS'!I$13+J263*'Pesos GPS'!I$14+K263*'Pesos GPS'!I$15+L263*'Pesos GPS'!I$16+'Pesos GPS'!I$17)</f>
        <v>0</v>
      </c>
      <c r="U263" s="5">
        <f>M263*'Pesos GPS'!$B$22+N263*'Pesos GPS'!$B$23+O263*'Pesos GPS'!$B$24+P263*'Pesos GPS'!$B$25+Q263*'Pesos GPS'!$B$26+R263*'Pesos GPS'!$B$27+S263*'Pesos GPS'!$B$28+T263*'Pesos GPS'!$B$29+'Pesos GPS'!$B$30</f>
        <v>2.37807146</v>
      </c>
      <c r="V263" s="5">
        <f t="shared" si="1"/>
        <v>0.9151397857</v>
      </c>
      <c r="W263" s="3">
        <f t="shared" si="2"/>
        <v>1</v>
      </c>
      <c r="X263" s="3">
        <f t="shared" si="3"/>
        <v>1</v>
      </c>
      <c r="Y263" s="9">
        <f t="shared" si="4"/>
        <v>0</v>
      </c>
      <c r="Z263" s="9">
        <v>0.9151397857284129</v>
      </c>
      <c r="AA263" s="3" t="str">
        <f t="shared" si="5"/>
        <v>OK</v>
      </c>
    </row>
    <row r="264" ht="15.75" customHeight="1">
      <c r="A264" s="3">
        <v>263.0</v>
      </c>
      <c r="B264" s="3" t="s">
        <v>20</v>
      </c>
      <c r="C264" s="7">
        <v>35.659243</v>
      </c>
      <c r="D264" s="7">
        <v>139.65209</v>
      </c>
      <c r="E264" s="3">
        <v>1.0</v>
      </c>
      <c r="F264" s="3" t="s">
        <v>55</v>
      </c>
      <c r="G264" s="5">
        <f>(C264-'Pesos GPS'!$L$4)/'Pesos GPS'!$L$5</f>
        <v>-1.006960571</v>
      </c>
      <c r="H264" s="5">
        <f>(D264-'Pesos GPS'!$L$6)/'Pesos GPS'!$L$7</f>
        <v>1.000032628</v>
      </c>
      <c r="I264" s="5">
        <f>MAX(0,G264*'Pesos GPS'!B$6+H264*'Pesos GPS'!B$7+'Pesos GPS'!B$8)</f>
        <v>0</v>
      </c>
      <c r="J264" s="5">
        <f>MAX(0,G264*'Pesos GPS'!C$6+H264*'Pesos GPS'!C$7+'Pesos GPS'!C$8)</f>
        <v>0</v>
      </c>
      <c r="K264" s="5">
        <f>MAX(0,G264*'Pesos GPS'!D$6+H264*'Pesos GPS'!D$7+'Pesos GPS'!D$8)</f>
        <v>0</v>
      </c>
      <c r="L264" s="5">
        <f>MAX(0,G264*'Pesos GPS'!E$6+H264*'Pesos GPS'!E$7+'Pesos GPS'!E$8)</f>
        <v>0</v>
      </c>
      <c r="M264" s="5">
        <f>MAX(0,I264*'Pesos GPS'!B$13+J264*'Pesos GPS'!B$14+K264*'Pesos GPS'!B$15+L264*'Pesos GPS'!B$16+'Pesos GPS'!B$17)</f>
        <v>0</v>
      </c>
      <c r="N264" s="5">
        <f>MAX(0,I264*'Pesos GPS'!C$13+J264*'Pesos GPS'!C$14+K264*'Pesos GPS'!C$15+L264*'Pesos GPS'!C$16+'Pesos GPS'!C$17)</f>
        <v>0</v>
      </c>
      <c r="O264" s="5">
        <f>MAX(0,I264*'Pesos GPS'!D$13+J264*'Pesos GPS'!D$14+K264*'Pesos GPS'!D$15+L264*'Pesos GPS'!D$16+'Pesos GPS'!D$17)</f>
        <v>0</v>
      </c>
      <c r="P264" s="5">
        <f>MAX(0,I264*'Pesos GPS'!E$13+J264*'Pesos GPS'!E$14+K264*'Pesos GPS'!E$15+L264*'Pesos GPS'!E$16+'Pesos GPS'!E$17)</f>
        <v>0</v>
      </c>
      <c r="Q264" s="5">
        <f>MAX(0,I264*'Pesos GPS'!F$13+J264*'Pesos GPS'!F$14+K264*'Pesos GPS'!F$15+L264*'Pesos GPS'!F$16+'Pesos GPS'!F$17)</f>
        <v>0</v>
      </c>
      <c r="R264" s="5">
        <f>MAX(0,I264*'Pesos GPS'!G$13+J264*'Pesos GPS'!G$14+K264*'Pesos GPS'!G$15+L264*'Pesos GPS'!G$16+'Pesos GPS'!G$17)</f>
        <v>0</v>
      </c>
      <c r="S264" s="5">
        <f>MAX(0,I264*'Pesos GPS'!H$13+J264*'Pesos GPS'!H$14+K264*'Pesos GPS'!H$15+L264*'Pesos GPS'!H$16+'Pesos GPS'!H$17)</f>
        <v>0</v>
      </c>
      <c r="T264" s="5">
        <f>MAX(0,I264*'Pesos GPS'!I$13+J264*'Pesos GPS'!I$14+K264*'Pesos GPS'!I$15+L264*'Pesos GPS'!I$16+'Pesos GPS'!I$17)</f>
        <v>0</v>
      </c>
      <c r="U264" s="5">
        <f>M264*'Pesos GPS'!$B$22+N264*'Pesos GPS'!$B$23+O264*'Pesos GPS'!$B$24+P264*'Pesos GPS'!$B$25+Q264*'Pesos GPS'!$B$26+R264*'Pesos GPS'!$B$27+S264*'Pesos GPS'!$B$28+T264*'Pesos GPS'!$B$29+'Pesos GPS'!$B$30</f>
        <v>2.37807146</v>
      </c>
      <c r="V264" s="5">
        <f t="shared" si="1"/>
        <v>0.9151397857</v>
      </c>
      <c r="W264" s="3">
        <f t="shared" si="2"/>
        <v>1</v>
      </c>
      <c r="X264" s="3">
        <f t="shared" si="3"/>
        <v>1</v>
      </c>
      <c r="Y264" s="9">
        <f t="shared" si="4"/>
        <v>0</v>
      </c>
      <c r="Z264" s="9">
        <v>0.9151397857284129</v>
      </c>
      <c r="AA264" s="3" t="str">
        <f t="shared" si="5"/>
        <v>OK</v>
      </c>
    </row>
    <row r="265" ht="15.75" customHeight="1">
      <c r="A265" s="3">
        <v>264.0</v>
      </c>
      <c r="B265" s="3" t="s">
        <v>20</v>
      </c>
      <c r="C265" s="7">
        <v>35.694936</v>
      </c>
      <c r="D265" s="7">
        <v>139.623506</v>
      </c>
      <c r="E265" s="3">
        <v>1.0</v>
      </c>
      <c r="F265" s="3" t="s">
        <v>55</v>
      </c>
      <c r="G265" s="5">
        <f>(C265-'Pesos GPS'!$L$4)/'Pesos GPS'!$L$5</f>
        <v>-0.9927832</v>
      </c>
      <c r="H265" s="5">
        <f>(D265-'Pesos GPS'!$L$6)/'Pesos GPS'!$L$7</f>
        <v>0.9997650569</v>
      </c>
      <c r="I265" s="5">
        <f>MAX(0,G265*'Pesos GPS'!B$6+H265*'Pesos GPS'!B$7+'Pesos GPS'!B$8)</f>
        <v>0</v>
      </c>
      <c r="J265" s="5">
        <f>MAX(0,G265*'Pesos GPS'!C$6+H265*'Pesos GPS'!C$7+'Pesos GPS'!C$8)</f>
        <v>0</v>
      </c>
      <c r="K265" s="5">
        <f>MAX(0,G265*'Pesos GPS'!D$6+H265*'Pesos GPS'!D$7+'Pesos GPS'!D$8)</f>
        <v>0</v>
      </c>
      <c r="L265" s="5">
        <f>MAX(0,G265*'Pesos GPS'!E$6+H265*'Pesos GPS'!E$7+'Pesos GPS'!E$8)</f>
        <v>0</v>
      </c>
      <c r="M265" s="5">
        <f>MAX(0,I265*'Pesos GPS'!B$13+J265*'Pesos GPS'!B$14+K265*'Pesos GPS'!B$15+L265*'Pesos GPS'!B$16+'Pesos GPS'!B$17)</f>
        <v>0</v>
      </c>
      <c r="N265" s="5">
        <f>MAX(0,I265*'Pesos GPS'!C$13+J265*'Pesos GPS'!C$14+K265*'Pesos GPS'!C$15+L265*'Pesos GPS'!C$16+'Pesos GPS'!C$17)</f>
        <v>0</v>
      </c>
      <c r="O265" s="5">
        <f>MAX(0,I265*'Pesos GPS'!D$13+J265*'Pesos GPS'!D$14+K265*'Pesos GPS'!D$15+L265*'Pesos GPS'!D$16+'Pesos GPS'!D$17)</f>
        <v>0</v>
      </c>
      <c r="P265" s="5">
        <f>MAX(0,I265*'Pesos GPS'!E$13+J265*'Pesos GPS'!E$14+K265*'Pesos GPS'!E$15+L265*'Pesos GPS'!E$16+'Pesos GPS'!E$17)</f>
        <v>0</v>
      </c>
      <c r="Q265" s="5">
        <f>MAX(0,I265*'Pesos GPS'!F$13+J265*'Pesos GPS'!F$14+K265*'Pesos GPS'!F$15+L265*'Pesos GPS'!F$16+'Pesos GPS'!F$17)</f>
        <v>0</v>
      </c>
      <c r="R265" s="5">
        <f>MAX(0,I265*'Pesos GPS'!G$13+J265*'Pesos GPS'!G$14+K265*'Pesos GPS'!G$15+L265*'Pesos GPS'!G$16+'Pesos GPS'!G$17)</f>
        <v>0</v>
      </c>
      <c r="S265" s="5">
        <f>MAX(0,I265*'Pesos GPS'!H$13+J265*'Pesos GPS'!H$14+K265*'Pesos GPS'!H$15+L265*'Pesos GPS'!H$16+'Pesos GPS'!H$17)</f>
        <v>0</v>
      </c>
      <c r="T265" s="5">
        <f>MAX(0,I265*'Pesos GPS'!I$13+J265*'Pesos GPS'!I$14+K265*'Pesos GPS'!I$15+L265*'Pesos GPS'!I$16+'Pesos GPS'!I$17)</f>
        <v>0</v>
      </c>
      <c r="U265" s="5">
        <f>M265*'Pesos GPS'!$B$22+N265*'Pesos GPS'!$B$23+O265*'Pesos GPS'!$B$24+P265*'Pesos GPS'!$B$25+Q265*'Pesos GPS'!$B$26+R265*'Pesos GPS'!$B$27+S265*'Pesos GPS'!$B$28+T265*'Pesos GPS'!$B$29+'Pesos GPS'!$B$30</f>
        <v>2.37807146</v>
      </c>
      <c r="V265" s="5">
        <f t="shared" si="1"/>
        <v>0.9151397857</v>
      </c>
      <c r="W265" s="3">
        <f t="shared" si="2"/>
        <v>1</v>
      </c>
      <c r="X265" s="3">
        <f t="shared" si="3"/>
        <v>1</v>
      </c>
      <c r="Y265" s="9">
        <f t="shared" si="4"/>
        <v>0</v>
      </c>
      <c r="Z265" s="9">
        <v>0.9151397857284129</v>
      </c>
      <c r="AA265" s="3" t="str">
        <f t="shared" si="5"/>
        <v>OK</v>
      </c>
    </row>
    <row r="266" ht="15.75" customHeight="1">
      <c r="A266" s="3">
        <v>265.0</v>
      </c>
      <c r="B266" s="3" t="s">
        <v>20</v>
      </c>
      <c r="C266" s="7">
        <v>35.669078</v>
      </c>
      <c r="D266" s="7">
        <v>139.681806</v>
      </c>
      <c r="E266" s="3">
        <v>1.0</v>
      </c>
      <c r="F266" s="3" t="s">
        <v>55</v>
      </c>
      <c r="G266" s="5">
        <f>(C266-'Pesos GPS'!$L$4)/'Pesos GPS'!$L$5</f>
        <v>-1.003054078</v>
      </c>
      <c r="H266" s="5">
        <f>(D266-'Pesos GPS'!$L$6)/'Pesos GPS'!$L$7</f>
        <v>1.000310795</v>
      </c>
      <c r="I266" s="5">
        <f>MAX(0,G266*'Pesos GPS'!B$6+H266*'Pesos GPS'!B$7+'Pesos GPS'!B$8)</f>
        <v>0</v>
      </c>
      <c r="J266" s="5">
        <f>MAX(0,G266*'Pesos GPS'!C$6+H266*'Pesos GPS'!C$7+'Pesos GPS'!C$8)</f>
        <v>0</v>
      </c>
      <c r="K266" s="5">
        <f>MAX(0,G266*'Pesos GPS'!D$6+H266*'Pesos GPS'!D$7+'Pesos GPS'!D$8)</f>
        <v>0</v>
      </c>
      <c r="L266" s="5">
        <f>MAX(0,G266*'Pesos GPS'!E$6+H266*'Pesos GPS'!E$7+'Pesos GPS'!E$8)</f>
        <v>0</v>
      </c>
      <c r="M266" s="5">
        <f>MAX(0,I266*'Pesos GPS'!B$13+J266*'Pesos GPS'!B$14+K266*'Pesos GPS'!B$15+L266*'Pesos GPS'!B$16+'Pesos GPS'!B$17)</f>
        <v>0</v>
      </c>
      <c r="N266" s="5">
        <f>MAX(0,I266*'Pesos GPS'!C$13+J266*'Pesos GPS'!C$14+K266*'Pesos GPS'!C$15+L266*'Pesos GPS'!C$16+'Pesos GPS'!C$17)</f>
        <v>0</v>
      </c>
      <c r="O266" s="5">
        <f>MAX(0,I266*'Pesos GPS'!D$13+J266*'Pesos GPS'!D$14+K266*'Pesos GPS'!D$15+L266*'Pesos GPS'!D$16+'Pesos GPS'!D$17)</f>
        <v>0</v>
      </c>
      <c r="P266" s="5">
        <f>MAX(0,I266*'Pesos GPS'!E$13+J266*'Pesos GPS'!E$14+K266*'Pesos GPS'!E$15+L266*'Pesos GPS'!E$16+'Pesos GPS'!E$17)</f>
        <v>0</v>
      </c>
      <c r="Q266" s="5">
        <f>MAX(0,I266*'Pesos GPS'!F$13+J266*'Pesos GPS'!F$14+K266*'Pesos GPS'!F$15+L266*'Pesos GPS'!F$16+'Pesos GPS'!F$17)</f>
        <v>0</v>
      </c>
      <c r="R266" s="5">
        <f>MAX(0,I266*'Pesos GPS'!G$13+J266*'Pesos GPS'!G$14+K266*'Pesos GPS'!G$15+L266*'Pesos GPS'!G$16+'Pesos GPS'!G$17)</f>
        <v>0</v>
      </c>
      <c r="S266" s="5">
        <f>MAX(0,I266*'Pesos GPS'!H$13+J266*'Pesos GPS'!H$14+K266*'Pesos GPS'!H$15+L266*'Pesos GPS'!H$16+'Pesos GPS'!H$17)</f>
        <v>0</v>
      </c>
      <c r="T266" s="5">
        <f>MAX(0,I266*'Pesos GPS'!I$13+J266*'Pesos GPS'!I$14+K266*'Pesos GPS'!I$15+L266*'Pesos GPS'!I$16+'Pesos GPS'!I$17)</f>
        <v>0</v>
      </c>
      <c r="U266" s="5">
        <f>M266*'Pesos GPS'!$B$22+N266*'Pesos GPS'!$B$23+O266*'Pesos GPS'!$B$24+P266*'Pesos GPS'!$B$25+Q266*'Pesos GPS'!$B$26+R266*'Pesos GPS'!$B$27+S266*'Pesos GPS'!$B$28+T266*'Pesos GPS'!$B$29+'Pesos GPS'!$B$30</f>
        <v>2.37807146</v>
      </c>
      <c r="V266" s="5">
        <f t="shared" si="1"/>
        <v>0.9151397857</v>
      </c>
      <c r="W266" s="3">
        <f t="shared" si="2"/>
        <v>1</v>
      </c>
      <c r="X266" s="3">
        <f t="shared" si="3"/>
        <v>1</v>
      </c>
      <c r="Y266" s="9">
        <f t="shared" si="4"/>
        <v>0</v>
      </c>
      <c r="Z266" s="9">
        <v>0.9151397857284129</v>
      </c>
      <c r="AA266" s="3" t="str">
        <f t="shared" si="5"/>
        <v>OK</v>
      </c>
    </row>
    <row r="267" ht="15.75" customHeight="1">
      <c r="A267" s="3">
        <v>266.0</v>
      </c>
      <c r="B267" s="3" t="s">
        <v>20</v>
      </c>
      <c r="C267" s="7">
        <v>35.681145</v>
      </c>
      <c r="D267" s="7">
        <v>139.676179</v>
      </c>
      <c r="E267" s="3">
        <v>1.0</v>
      </c>
      <c r="F267" s="3" t="s">
        <v>55</v>
      </c>
      <c r="G267" s="5">
        <f>(C267-'Pesos GPS'!$L$4)/'Pesos GPS'!$L$5</f>
        <v>-0.9982610282</v>
      </c>
      <c r="H267" s="5">
        <f>(D267-'Pesos GPS'!$L$6)/'Pesos GPS'!$L$7</f>
        <v>1.000258122</v>
      </c>
      <c r="I267" s="5">
        <f>MAX(0,G267*'Pesos GPS'!B$6+H267*'Pesos GPS'!B$7+'Pesos GPS'!B$8)</f>
        <v>0</v>
      </c>
      <c r="J267" s="5">
        <f>MAX(0,G267*'Pesos GPS'!C$6+H267*'Pesos GPS'!C$7+'Pesos GPS'!C$8)</f>
        <v>0</v>
      </c>
      <c r="K267" s="5">
        <f>MAX(0,G267*'Pesos GPS'!D$6+H267*'Pesos GPS'!D$7+'Pesos GPS'!D$8)</f>
        <v>0</v>
      </c>
      <c r="L267" s="5">
        <f>MAX(0,G267*'Pesos GPS'!E$6+H267*'Pesos GPS'!E$7+'Pesos GPS'!E$8)</f>
        <v>0</v>
      </c>
      <c r="M267" s="5">
        <f>MAX(0,I267*'Pesos GPS'!B$13+J267*'Pesos GPS'!B$14+K267*'Pesos GPS'!B$15+L267*'Pesos GPS'!B$16+'Pesos GPS'!B$17)</f>
        <v>0</v>
      </c>
      <c r="N267" s="5">
        <f>MAX(0,I267*'Pesos GPS'!C$13+J267*'Pesos GPS'!C$14+K267*'Pesos GPS'!C$15+L267*'Pesos GPS'!C$16+'Pesos GPS'!C$17)</f>
        <v>0</v>
      </c>
      <c r="O267" s="5">
        <f>MAX(0,I267*'Pesos GPS'!D$13+J267*'Pesos GPS'!D$14+K267*'Pesos GPS'!D$15+L267*'Pesos GPS'!D$16+'Pesos GPS'!D$17)</f>
        <v>0</v>
      </c>
      <c r="P267" s="5">
        <f>MAX(0,I267*'Pesos GPS'!E$13+J267*'Pesos GPS'!E$14+K267*'Pesos GPS'!E$15+L267*'Pesos GPS'!E$16+'Pesos GPS'!E$17)</f>
        <v>0</v>
      </c>
      <c r="Q267" s="5">
        <f>MAX(0,I267*'Pesos GPS'!F$13+J267*'Pesos GPS'!F$14+K267*'Pesos GPS'!F$15+L267*'Pesos GPS'!F$16+'Pesos GPS'!F$17)</f>
        <v>0</v>
      </c>
      <c r="R267" s="5">
        <f>MAX(0,I267*'Pesos GPS'!G$13+J267*'Pesos GPS'!G$14+K267*'Pesos GPS'!G$15+L267*'Pesos GPS'!G$16+'Pesos GPS'!G$17)</f>
        <v>0</v>
      </c>
      <c r="S267" s="5">
        <f>MAX(0,I267*'Pesos GPS'!H$13+J267*'Pesos GPS'!H$14+K267*'Pesos GPS'!H$15+L267*'Pesos GPS'!H$16+'Pesos GPS'!H$17)</f>
        <v>0</v>
      </c>
      <c r="T267" s="5">
        <f>MAX(0,I267*'Pesos GPS'!I$13+J267*'Pesos GPS'!I$14+K267*'Pesos GPS'!I$15+L267*'Pesos GPS'!I$16+'Pesos GPS'!I$17)</f>
        <v>0</v>
      </c>
      <c r="U267" s="5">
        <f>M267*'Pesos GPS'!$B$22+N267*'Pesos GPS'!$B$23+O267*'Pesos GPS'!$B$24+P267*'Pesos GPS'!$B$25+Q267*'Pesos GPS'!$B$26+R267*'Pesos GPS'!$B$27+S267*'Pesos GPS'!$B$28+T267*'Pesos GPS'!$B$29+'Pesos GPS'!$B$30</f>
        <v>2.37807146</v>
      </c>
      <c r="V267" s="5">
        <f t="shared" si="1"/>
        <v>0.9151397857</v>
      </c>
      <c r="W267" s="3">
        <f t="shared" si="2"/>
        <v>1</v>
      </c>
      <c r="X267" s="3">
        <f t="shared" si="3"/>
        <v>1</v>
      </c>
      <c r="Y267" s="9">
        <f t="shared" si="4"/>
        <v>0</v>
      </c>
      <c r="Z267" s="9">
        <v>0.9151397857284129</v>
      </c>
      <c r="AA267" s="3" t="str">
        <f t="shared" si="5"/>
        <v>OK</v>
      </c>
    </row>
    <row r="268" ht="15.75" customHeight="1">
      <c r="A268" s="3">
        <v>267.0</v>
      </c>
      <c r="B268" s="3" t="s">
        <v>20</v>
      </c>
      <c r="C268" s="7">
        <v>35.70343</v>
      </c>
      <c r="D268" s="7">
        <v>139.644712</v>
      </c>
      <c r="E268" s="3">
        <v>1.0</v>
      </c>
      <c r="F268" s="3" t="s">
        <v>55</v>
      </c>
      <c r="G268" s="5">
        <f>(C268-'Pesos GPS'!$L$4)/'Pesos GPS'!$L$5</f>
        <v>-0.9894093568</v>
      </c>
      <c r="H268" s="5">
        <f>(D268-'Pesos GPS'!$L$6)/'Pesos GPS'!$L$7</f>
        <v>0.9999635634</v>
      </c>
      <c r="I268" s="5">
        <f>MAX(0,G268*'Pesos GPS'!B$6+H268*'Pesos GPS'!B$7+'Pesos GPS'!B$8)</f>
        <v>0</v>
      </c>
      <c r="J268" s="5">
        <f>MAX(0,G268*'Pesos GPS'!C$6+H268*'Pesos GPS'!C$7+'Pesos GPS'!C$8)</f>
        <v>0</v>
      </c>
      <c r="K268" s="5">
        <f>MAX(0,G268*'Pesos GPS'!D$6+H268*'Pesos GPS'!D$7+'Pesos GPS'!D$8)</f>
        <v>0</v>
      </c>
      <c r="L268" s="5">
        <f>MAX(0,G268*'Pesos GPS'!E$6+H268*'Pesos GPS'!E$7+'Pesos GPS'!E$8)</f>
        <v>0</v>
      </c>
      <c r="M268" s="5">
        <f>MAX(0,I268*'Pesos GPS'!B$13+J268*'Pesos GPS'!B$14+K268*'Pesos GPS'!B$15+L268*'Pesos GPS'!B$16+'Pesos GPS'!B$17)</f>
        <v>0</v>
      </c>
      <c r="N268" s="5">
        <f>MAX(0,I268*'Pesos GPS'!C$13+J268*'Pesos GPS'!C$14+K268*'Pesos GPS'!C$15+L268*'Pesos GPS'!C$16+'Pesos GPS'!C$17)</f>
        <v>0</v>
      </c>
      <c r="O268" s="5">
        <f>MAX(0,I268*'Pesos GPS'!D$13+J268*'Pesos GPS'!D$14+K268*'Pesos GPS'!D$15+L268*'Pesos GPS'!D$16+'Pesos GPS'!D$17)</f>
        <v>0</v>
      </c>
      <c r="P268" s="5">
        <f>MAX(0,I268*'Pesos GPS'!E$13+J268*'Pesos GPS'!E$14+K268*'Pesos GPS'!E$15+L268*'Pesos GPS'!E$16+'Pesos GPS'!E$17)</f>
        <v>0</v>
      </c>
      <c r="Q268" s="5">
        <f>MAX(0,I268*'Pesos GPS'!F$13+J268*'Pesos GPS'!F$14+K268*'Pesos GPS'!F$15+L268*'Pesos GPS'!F$16+'Pesos GPS'!F$17)</f>
        <v>0</v>
      </c>
      <c r="R268" s="5">
        <f>MAX(0,I268*'Pesos GPS'!G$13+J268*'Pesos GPS'!G$14+K268*'Pesos GPS'!G$15+L268*'Pesos GPS'!G$16+'Pesos GPS'!G$17)</f>
        <v>0</v>
      </c>
      <c r="S268" s="5">
        <f>MAX(0,I268*'Pesos GPS'!H$13+J268*'Pesos GPS'!H$14+K268*'Pesos GPS'!H$15+L268*'Pesos GPS'!H$16+'Pesos GPS'!H$17)</f>
        <v>0</v>
      </c>
      <c r="T268" s="5">
        <f>MAX(0,I268*'Pesos GPS'!I$13+J268*'Pesos GPS'!I$14+K268*'Pesos GPS'!I$15+L268*'Pesos GPS'!I$16+'Pesos GPS'!I$17)</f>
        <v>0</v>
      </c>
      <c r="U268" s="5">
        <f>M268*'Pesos GPS'!$B$22+N268*'Pesos GPS'!$B$23+O268*'Pesos GPS'!$B$24+P268*'Pesos GPS'!$B$25+Q268*'Pesos GPS'!$B$26+R268*'Pesos GPS'!$B$27+S268*'Pesos GPS'!$B$28+T268*'Pesos GPS'!$B$29+'Pesos GPS'!$B$30</f>
        <v>2.37807146</v>
      </c>
      <c r="V268" s="5">
        <f t="shared" si="1"/>
        <v>0.9151397857</v>
      </c>
      <c r="W268" s="3">
        <f t="shared" si="2"/>
        <v>1</v>
      </c>
      <c r="X268" s="3">
        <f t="shared" si="3"/>
        <v>1</v>
      </c>
      <c r="Y268" s="9">
        <f t="shared" si="4"/>
        <v>0</v>
      </c>
      <c r="Z268" s="9">
        <v>0.9151397857284129</v>
      </c>
      <c r="AA268" s="3" t="str">
        <f t="shared" si="5"/>
        <v>OK</v>
      </c>
    </row>
    <row r="269" ht="15.75" customHeight="1">
      <c r="A269" s="3">
        <v>268.0</v>
      </c>
      <c r="B269" s="3" t="s">
        <v>20</v>
      </c>
      <c r="C269" s="7">
        <v>35.709392</v>
      </c>
      <c r="D269" s="7">
        <v>139.627448</v>
      </c>
      <c r="E269" s="3">
        <v>1.0</v>
      </c>
      <c r="F269" s="3" t="s">
        <v>55</v>
      </c>
      <c r="G269" s="5">
        <f>(C269-'Pesos GPS'!$L$4)/'Pesos GPS'!$L$5</f>
        <v>-0.9870412318</v>
      </c>
      <c r="H269" s="5">
        <f>(D269-'Pesos GPS'!$L$6)/'Pesos GPS'!$L$7</f>
        <v>0.9998019574</v>
      </c>
      <c r="I269" s="5">
        <f>MAX(0,G269*'Pesos GPS'!B$6+H269*'Pesos GPS'!B$7+'Pesos GPS'!B$8)</f>
        <v>0</v>
      </c>
      <c r="J269" s="5">
        <f>MAX(0,G269*'Pesos GPS'!C$6+H269*'Pesos GPS'!C$7+'Pesos GPS'!C$8)</f>
        <v>0</v>
      </c>
      <c r="K269" s="5">
        <f>MAX(0,G269*'Pesos GPS'!D$6+H269*'Pesos GPS'!D$7+'Pesos GPS'!D$8)</f>
        <v>0</v>
      </c>
      <c r="L269" s="5">
        <f>MAX(0,G269*'Pesos GPS'!E$6+H269*'Pesos GPS'!E$7+'Pesos GPS'!E$8)</f>
        <v>0</v>
      </c>
      <c r="M269" s="5">
        <f>MAX(0,I269*'Pesos GPS'!B$13+J269*'Pesos GPS'!B$14+K269*'Pesos GPS'!B$15+L269*'Pesos GPS'!B$16+'Pesos GPS'!B$17)</f>
        <v>0</v>
      </c>
      <c r="N269" s="5">
        <f>MAX(0,I269*'Pesos GPS'!C$13+J269*'Pesos GPS'!C$14+K269*'Pesos GPS'!C$15+L269*'Pesos GPS'!C$16+'Pesos GPS'!C$17)</f>
        <v>0</v>
      </c>
      <c r="O269" s="5">
        <f>MAX(0,I269*'Pesos GPS'!D$13+J269*'Pesos GPS'!D$14+K269*'Pesos GPS'!D$15+L269*'Pesos GPS'!D$16+'Pesos GPS'!D$17)</f>
        <v>0</v>
      </c>
      <c r="P269" s="5">
        <f>MAX(0,I269*'Pesos GPS'!E$13+J269*'Pesos GPS'!E$14+K269*'Pesos GPS'!E$15+L269*'Pesos GPS'!E$16+'Pesos GPS'!E$17)</f>
        <v>0</v>
      </c>
      <c r="Q269" s="5">
        <f>MAX(0,I269*'Pesos GPS'!F$13+J269*'Pesos GPS'!F$14+K269*'Pesos GPS'!F$15+L269*'Pesos GPS'!F$16+'Pesos GPS'!F$17)</f>
        <v>0</v>
      </c>
      <c r="R269" s="5">
        <f>MAX(0,I269*'Pesos GPS'!G$13+J269*'Pesos GPS'!G$14+K269*'Pesos GPS'!G$15+L269*'Pesos GPS'!G$16+'Pesos GPS'!G$17)</f>
        <v>0</v>
      </c>
      <c r="S269" s="5">
        <f>MAX(0,I269*'Pesos GPS'!H$13+J269*'Pesos GPS'!H$14+K269*'Pesos GPS'!H$15+L269*'Pesos GPS'!H$16+'Pesos GPS'!H$17)</f>
        <v>0</v>
      </c>
      <c r="T269" s="5">
        <f>MAX(0,I269*'Pesos GPS'!I$13+J269*'Pesos GPS'!I$14+K269*'Pesos GPS'!I$15+L269*'Pesos GPS'!I$16+'Pesos GPS'!I$17)</f>
        <v>0</v>
      </c>
      <c r="U269" s="5">
        <f>M269*'Pesos GPS'!$B$22+N269*'Pesos GPS'!$B$23+O269*'Pesos GPS'!$B$24+P269*'Pesos GPS'!$B$25+Q269*'Pesos GPS'!$B$26+R269*'Pesos GPS'!$B$27+S269*'Pesos GPS'!$B$28+T269*'Pesos GPS'!$B$29+'Pesos GPS'!$B$30</f>
        <v>2.37807146</v>
      </c>
      <c r="V269" s="5">
        <f t="shared" si="1"/>
        <v>0.9151397857</v>
      </c>
      <c r="W269" s="3">
        <f t="shared" si="2"/>
        <v>1</v>
      </c>
      <c r="X269" s="3">
        <f t="shared" si="3"/>
        <v>1</v>
      </c>
      <c r="Y269" s="9">
        <f t="shared" si="4"/>
        <v>0</v>
      </c>
      <c r="Z269" s="9">
        <v>0.9151397857284129</v>
      </c>
      <c r="AA269" s="3" t="str">
        <f t="shared" si="5"/>
        <v>OK</v>
      </c>
    </row>
    <row r="270" ht="15.75" customHeight="1">
      <c r="A270" s="3">
        <v>269.0</v>
      </c>
      <c r="B270" s="3" t="s">
        <v>20</v>
      </c>
      <c r="C270" s="7">
        <v>35.674472</v>
      </c>
      <c r="D270" s="7">
        <v>139.669495</v>
      </c>
      <c r="E270" s="3">
        <v>1.0</v>
      </c>
      <c r="F270" s="3" t="s">
        <v>55</v>
      </c>
      <c r="G270" s="5">
        <f>(C270-'Pesos GPS'!$L$4)/'Pesos GPS'!$L$5</f>
        <v>-1.000911565</v>
      </c>
      <c r="H270" s="5">
        <f>(D270-'Pesos GPS'!$L$6)/'Pesos GPS'!$L$7</f>
        <v>1.000195554</v>
      </c>
      <c r="I270" s="5">
        <f>MAX(0,G270*'Pesos GPS'!B$6+H270*'Pesos GPS'!B$7+'Pesos GPS'!B$8)</f>
        <v>0</v>
      </c>
      <c r="J270" s="5">
        <f>MAX(0,G270*'Pesos GPS'!C$6+H270*'Pesos GPS'!C$7+'Pesos GPS'!C$8)</f>
        <v>0</v>
      </c>
      <c r="K270" s="5">
        <f>MAX(0,G270*'Pesos GPS'!D$6+H270*'Pesos GPS'!D$7+'Pesos GPS'!D$8)</f>
        <v>0</v>
      </c>
      <c r="L270" s="5">
        <f>MAX(0,G270*'Pesos GPS'!E$6+H270*'Pesos GPS'!E$7+'Pesos GPS'!E$8)</f>
        <v>0</v>
      </c>
      <c r="M270" s="5">
        <f>MAX(0,I270*'Pesos GPS'!B$13+J270*'Pesos GPS'!B$14+K270*'Pesos GPS'!B$15+L270*'Pesos GPS'!B$16+'Pesos GPS'!B$17)</f>
        <v>0</v>
      </c>
      <c r="N270" s="5">
        <f>MAX(0,I270*'Pesos GPS'!C$13+J270*'Pesos GPS'!C$14+K270*'Pesos GPS'!C$15+L270*'Pesos GPS'!C$16+'Pesos GPS'!C$17)</f>
        <v>0</v>
      </c>
      <c r="O270" s="5">
        <f>MAX(0,I270*'Pesos GPS'!D$13+J270*'Pesos GPS'!D$14+K270*'Pesos GPS'!D$15+L270*'Pesos GPS'!D$16+'Pesos GPS'!D$17)</f>
        <v>0</v>
      </c>
      <c r="P270" s="5">
        <f>MAX(0,I270*'Pesos GPS'!E$13+J270*'Pesos GPS'!E$14+K270*'Pesos GPS'!E$15+L270*'Pesos GPS'!E$16+'Pesos GPS'!E$17)</f>
        <v>0</v>
      </c>
      <c r="Q270" s="5">
        <f>MAX(0,I270*'Pesos GPS'!F$13+J270*'Pesos GPS'!F$14+K270*'Pesos GPS'!F$15+L270*'Pesos GPS'!F$16+'Pesos GPS'!F$17)</f>
        <v>0</v>
      </c>
      <c r="R270" s="5">
        <f>MAX(0,I270*'Pesos GPS'!G$13+J270*'Pesos GPS'!G$14+K270*'Pesos GPS'!G$15+L270*'Pesos GPS'!G$16+'Pesos GPS'!G$17)</f>
        <v>0</v>
      </c>
      <c r="S270" s="5">
        <f>MAX(0,I270*'Pesos GPS'!H$13+J270*'Pesos GPS'!H$14+K270*'Pesos GPS'!H$15+L270*'Pesos GPS'!H$16+'Pesos GPS'!H$17)</f>
        <v>0</v>
      </c>
      <c r="T270" s="5">
        <f>MAX(0,I270*'Pesos GPS'!I$13+J270*'Pesos GPS'!I$14+K270*'Pesos GPS'!I$15+L270*'Pesos GPS'!I$16+'Pesos GPS'!I$17)</f>
        <v>0</v>
      </c>
      <c r="U270" s="5">
        <f>M270*'Pesos GPS'!$B$22+N270*'Pesos GPS'!$B$23+O270*'Pesos GPS'!$B$24+P270*'Pesos GPS'!$B$25+Q270*'Pesos GPS'!$B$26+R270*'Pesos GPS'!$B$27+S270*'Pesos GPS'!$B$28+T270*'Pesos GPS'!$B$29+'Pesos GPS'!$B$30</f>
        <v>2.37807146</v>
      </c>
      <c r="V270" s="5">
        <f t="shared" si="1"/>
        <v>0.9151397857</v>
      </c>
      <c r="W270" s="3">
        <f t="shared" si="2"/>
        <v>1</v>
      </c>
      <c r="X270" s="3">
        <f t="shared" si="3"/>
        <v>1</v>
      </c>
      <c r="Y270" s="9">
        <f t="shared" si="4"/>
        <v>0</v>
      </c>
      <c r="Z270" s="9">
        <v>0.9151397857284129</v>
      </c>
      <c r="AA270" s="3" t="str">
        <f t="shared" si="5"/>
        <v>OK</v>
      </c>
    </row>
    <row r="271" ht="15.75" customHeight="1">
      <c r="A271" s="3">
        <v>270.0</v>
      </c>
      <c r="B271" s="3" t="s">
        <v>20</v>
      </c>
      <c r="C271" s="7">
        <v>35.71004</v>
      </c>
      <c r="D271" s="7">
        <v>139.656879</v>
      </c>
      <c r="E271" s="3">
        <v>1.0</v>
      </c>
      <c r="F271" s="3" t="s">
        <v>55</v>
      </c>
      <c r="G271" s="5">
        <f>(C271-'Pesos GPS'!$L$4)/'Pesos GPS'!$L$5</f>
        <v>-0.9867838442</v>
      </c>
      <c r="H271" s="5">
        <f>(D271-'Pesos GPS'!$L$6)/'Pesos GPS'!$L$7</f>
        <v>1.000077457</v>
      </c>
      <c r="I271" s="5">
        <f>MAX(0,G271*'Pesos GPS'!B$6+H271*'Pesos GPS'!B$7+'Pesos GPS'!B$8)</f>
        <v>0</v>
      </c>
      <c r="J271" s="5">
        <f>MAX(0,G271*'Pesos GPS'!C$6+H271*'Pesos GPS'!C$7+'Pesos GPS'!C$8)</f>
        <v>0</v>
      </c>
      <c r="K271" s="5">
        <f>MAX(0,G271*'Pesos GPS'!D$6+H271*'Pesos GPS'!D$7+'Pesos GPS'!D$8)</f>
        <v>0</v>
      </c>
      <c r="L271" s="5">
        <f>MAX(0,G271*'Pesos GPS'!E$6+H271*'Pesos GPS'!E$7+'Pesos GPS'!E$8)</f>
        <v>0</v>
      </c>
      <c r="M271" s="5">
        <f>MAX(0,I271*'Pesos GPS'!B$13+J271*'Pesos GPS'!B$14+K271*'Pesos GPS'!B$15+L271*'Pesos GPS'!B$16+'Pesos GPS'!B$17)</f>
        <v>0</v>
      </c>
      <c r="N271" s="5">
        <f>MAX(0,I271*'Pesos GPS'!C$13+J271*'Pesos GPS'!C$14+K271*'Pesos GPS'!C$15+L271*'Pesos GPS'!C$16+'Pesos GPS'!C$17)</f>
        <v>0</v>
      </c>
      <c r="O271" s="5">
        <f>MAX(0,I271*'Pesos GPS'!D$13+J271*'Pesos GPS'!D$14+K271*'Pesos GPS'!D$15+L271*'Pesos GPS'!D$16+'Pesos GPS'!D$17)</f>
        <v>0</v>
      </c>
      <c r="P271" s="5">
        <f>MAX(0,I271*'Pesos GPS'!E$13+J271*'Pesos GPS'!E$14+K271*'Pesos GPS'!E$15+L271*'Pesos GPS'!E$16+'Pesos GPS'!E$17)</f>
        <v>0</v>
      </c>
      <c r="Q271" s="5">
        <f>MAX(0,I271*'Pesos GPS'!F$13+J271*'Pesos GPS'!F$14+K271*'Pesos GPS'!F$15+L271*'Pesos GPS'!F$16+'Pesos GPS'!F$17)</f>
        <v>0</v>
      </c>
      <c r="R271" s="5">
        <f>MAX(0,I271*'Pesos GPS'!G$13+J271*'Pesos GPS'!G$14+K271*'Pesos GPS'!G$15+L271*'Pesos GPS'!G$16+'Pesos GPS'!G$17)</f>
        <v>0</v>
      </c>
      <c r="S271" s="5">
        <f>MAX(0,I271*'Pesos GPS'!H$13+J271*'Pesos GPS'!H$14+K271*'Pesos GPS'!H$15+L271*'Pesos GPS'!H$16+'Pesos GPS'!H$17)</f>
        <v>0</v>
      </c>
      <c r="T271" s="5">
        <f>MAX(0,I271*'Pesos GPS'!I$13+J271*'Pesos GPS'!I$14+K271*'Pesos GPS'!I$15+L271*'Pesos GPS'!I$16+'Pesos GPS'!I$17)</f>
        <v>0</v>
      </c>
      <c r="U271" s="5">
        <f>M271*'Pesos GPS'!$B$22+N271*'Pesos GPS'!$B$23+O271*'Pesos GPS'!$B$24+P271*'Pesos GPS'!$B$25+Q271*'Pesos GPS'!$B$26+R271*'Pesos GPS'!$B$27+S271*'Pesos GPS'!$B$28+T271*'Pesos GPS'!$B$29+'Pesos GPS'!$B$30</f>
        <v>2.37807146</v>
      </c>
      <c r="V271" s="5">
        <f t="shared" si="1"/>
        <v>0.9151397857</v>
      </c>
      <c r="W271" s="3">
        <f t="shared" si="2"/>
        <v>1</v>
      </c>
      <c r="X271" s="3">
        <f t="shared" si="3"/>
        <v>1</v>
      </c>
      <c r="Y271" s="9">
        <f t="shared" si="4"/>
        <v>0</v>
      </c>
      <c r="Z271" s="9">
        <v>0.9151397857284129</v>
      </c>
      <c r="AA271" s="3" t="str">
        <f t="shared" si="5"/>
        <v>OK</v>
      </c>
    </row>
    <row r="272" ht="15.75" customHeight="1">
      <c r="A272" s="3">
        <v>271.0</v>
      </c>
      <c r="B272" s="3" t="s">
        <v>20</v>
      </c>
      <c r="C272" s="7">
        <v>35.678503</v>
      </c>
      <c r="D272" s="7">
        <v>139.599616</v>
      </c>
      <c r="E272" s="3">
        <v>1.0</v>
      </c>
      <c r="F272" s="3" t="s">
        <v>55</v>
      </c>
      <c r="G272" s="5">
        <f>(C272-'Pesos GPS'!$L$4)/'Pesos GPS'!$L$5</f>
        <v>-0.9993104388</v>
      </c>
      <c r="H272" s="5">
        <f>(D272-'Pesos GPS'!$L$6)/'Pesos GPS'!$L$7</f>
        <v>0.9995414257</v>
      </c>
      <c r="I272" s="5">
        <f>MAX(0,G272*'Pesos GPS'!B$6+H272*'Pesos GPS'!B$7+'Pesos GPS'!B$8)</f>
        <v>0</v>
      </c>
      <c r="J272" s="5">
        <f>MAX(0,G272*'Pesos GPS'!C$6+H272*'Pesos GPS'!C$7+'Pesos GPS'!C$8)</f>
        <v>0</v>
      </c>
      <c r="K272" s="5">
        <f>MAX(0,G272*'Pesos GPS'!D$6+H272*'Pesos GPS'!D$7+'Pesos GPS'!D$8)</f>
        <v>0</v>
      </c>
      <c r="L272" s="5">
        <f>MAX(0,G272*'Pesos GPS'!E$6+H272*'Pesos GPS'!E$7+'Pesos GPS'!E$8)</f>
        <v>0</v>
      </c>
      <c r="M272" s="5">
        <f>MAX(0,I272*'Pesos GPS'!B$13+J272*'Pesos GPS'!B$14+K272*'Pesos GPS'!B$15+L272*'Pesos GPS'!B$16+'Pesos GPS'!B$17)</f>
        <v>0</v>
      </c>
      <c r="N272" s="5">
        <f>MAX(0,I272*'Pesos GPS'!C$13+J272*'Pesos GPS'!C$14+K272*'Pesos GPS'!C$15+L272*'Pesos GPS'!C$16+'Pesos GPS'!C$17)</f>
        <v>0</v>
      </c>
      <c r="O272" s="5">
        <f>MAX(0,I272*'Pesos GPS'!D$13+J272*'Pesos GPS'!D$14+K272*'Pesos GPS'!D$15+L272*'Pesos GPS'!D$16+'Pesos GPS'!D$17)</f>
        <v>0</v>
      </c>
      <c r="P272" s="5">
        <f>MAX(0,I272*'Pesos GPS'!E$13+J272*'Pesos GPS'!E$14+K272*'Pesos GPS'!E$15+L272*'Pesos GPS'!E$16+'Pesos GPS'!E$17)</f>
        <v>0</v>
      </c>
      <c r="Q272" s="5">
        <f>MAX(0,I272*'Pesos GPS'!F$13+J272*'Pesos GPS'!F$14+K272*'Pesos GPS'!F$15+L272*'Pesos GPS'!F$16+'Pesos GPS'!F$17)</f>
        <v>0</v>
      </c>
      <c r="R272" s="5">
        <f>MAX(0,I272*'Pesos GPS'!G$13+J272*'Pesos GPS'!G$14+K272*'Pesos GPS'!G$15+L272*'Pesos GPS'!G$16+'Pesos GPS'!G$17)</f>
        <v>0</v>
      </c>
      <c r="S272" s="5">
        <f>MAX(0,I272*'Pesos GPS'!H$13+J272*'Pesos GPS'!H$14+K272*'Pesos GPS'!H$15+L272*'Pesos GPS'!H$16+'Pesos GPS'!H$17)</f>
        <v>0</v>
      </c>
      <c r="T272" s="5">
        <f>MAX(0,I272*'Pesos GPS'!I$13+J272*'Pesos GPS'!I$14+K272*'Pesos GPS'!I$15+L272*'Pesos GPS'!I$16+'Pesos GPS'!I$17)</f>
        <v>0</v>
      </c>
      <c r="U272" s="5">
        <f>M272*'Pesos GPS'!$B$22+N272*'Pesos GPS'!$B$23+O272*'Pesos GPS'!$B$24+P272*'Pesos GPS'!$B$25+Q272*'Pesos GPS'!$B$26+R272*'Pesos GPS'!$B$27+S272*'Pesos GPS'!$B$28+T272*'Pesos GPS'!$B$29+'Pesos GPS'!$B$30</f>
        <v>2.37807146</v>
      </c>
      <c r="V272" s="5">
        <f t="shared" si="1"/>
        <v>0.9151397857</v>
      </c>
      <c r="W272" s="3">
        <f t="shared" si="2"/>
        <v>1</v>
      </c>
      <c r="X272" s="3">
        <f t="shared" si="3"/>
        <v>1</v>
      </c>
      <c r="Y272" s="9">
        <f t="shared" si="4"/>
        <v>0</v>
      </c>
      <c r="Z272" s="9">
        <v>0.9151397857284129</v>
      </c>
      <c r="AA272" s="3" t="str">
        <f t="shared" si="5"/>
        <v>OK</v>
      </c>
    </row>
    <row r="273" ht="15.75" customHeight="1">
      <c r="A273" s="3">
        <v>272.0</v>
      </c>
      <c r="B273" s="3" t="s">
        <v>20</v>
      </c>
      <c r="C273" s="7">
        <v>35.655265</v>
      </c>
      <c r="D273" s="7">
        <v>139.647921</v>
      </c>
      <c r="E273" s="3">
        <v>1.0</v>
      </c>
      <c r="F273" s="3" t="s">
        <v>55</v>
      </c>
      <c r="G273" s="5">
        <f>(C273-'Pesos GPS'!$L$4)/'Pesos GPS'!$L$5</f>
        <v>-1.008540645</v>
      </c>
      <c r="H273" s="5">
        <f>(D273-'Pesos GPS'!$L$6)/'Pesos GPS'!$L$7</f>
        <v>0.9999936025</v>
      </c>
      <c r="I273" s="5">
        <f>MAX(0,G273*'Pesos GPS'!B$6+H273*'Pesos GPS'!B$7+'Pesos GPS'!B$8)</f>
        <v>0</v>
      </c>
      <c r="J273" s="5">
        <f>MAX(0,G273*'Pesos GPS'!C$6+H273*'Pesos GPS'!C$7+'Pesos GPS'!C$8)</f>
        <v>0</v>
      </c>
      <c r="K273" s="5">
        <f>MAX(0,G273*'Pesos GPS'!D$6+H273*'Pesos GPS'!D$7+'Pesos GPS'!D$8)</f>
        <v>0</v>
      </c>
      <c r="L273" s="5">
        <f>MAX(0,G273*'Pesos GPS'!E$6+H273*'Pesos GPS'!E$7+'Pesos GPS'!E$8)</f>
        <v>0</v>
      </c>
      <c r="M273" s="5">
        <f>MAX(0,I273*'Pesos GPS'!B$13+J273*'Pesos GPS'!B$14+K273*'Pesos GPS'!B$15+L273*'Pesos GPS'!B$16+'Pesos GPS'!B$17)</f>
        <v>0</v>
      </c>
      <c r="N273" s="5">
        <f>MAX(0,I273*'Pesos GPS'!C$13+J273*'Pesos GPS'!C$14+K273*'Pesos GPS'!C$15+L273*'Pesos GPS'!C$16+'Pesos GPS'!C$17)</f>
        <v>0</v>
      </c>
      <c r="O273" s="5">
        <f>MAX(0,I273*'Pesos GPS'!D$13+J273*'Pesos GPS'!D$14+K273*'Pesos GPS'!D$15+L273*'Pesos GPS'!D$16+'Pesos GPS'!D$17)</f>
        <v>0</v>
      </c>
      <c r="P273" s="5">
        <f>MAX(0,I273*'Pesos GPS'!E$13+J273*'Pesos GPS'!E$14+K273*'Pesos GPS'!E$15+L273*'Pesos GPS'!E$16+'Pesos GPS'!E$17)</f>
        <v>0</v>
      </c>
      <c r="Q273" s="5">
        <f>MAX(0,I273*'Pesos GPS'!F$13+J273*'Pesos GPS'!F$14+K273*'Pesos GPS'!F$15+L273*'Pesos GPS'!F$16+'Pesos GPS'!F$17)</f>
        <v>0</v>
      </c>
      <c r="R273" s="5">
        <f>MAX(0,I273*'Pesos GPS'!G$13+J273*'Pesos GPS'!G$14+K273*'Pesos GPS'!G$15+L273*'Pesos GPS'!G$16+'Pesos GPS'!G$17)</f>
        <v>0</v>
      </c>
      <c r="S273" s="5">
        <f>MAX(0,I273*'Pesos GPS'!H$13+J273*'Pesos GPS'!H$14+K273*'Pesos GPS'!H$15+L273*'Pesos GPS'!H$16+'Pesos GPS'!H$17)</f>
        <v>0</v>
      </c>
      <c r="T273" s="5">
        <f>MAX(0,I273*'Pesos GPS'!I$13+J273*'Pesos GPS'!I$14+K273*'Pesos GPS'!I$15+L273*'Pesos GPS'!I$16+'Pesos GPS'!I$17)</f>
        <v>0</v>
      </c>
      <c r="U273" s="5">
        <f>M273*'Pesos GPS'!$B$22+N273*'Pesos GPS'!$B$23+O273*'Pesos GPS'!$B$24+P273*'Pesos GPS'!$B$25+Q273*'Pesos GPS'!$B$26+R273*'Pesos GPS'!$B$27+S273*'Pesos GPS'!$B$28+T273*'Pesos GPS'!$B$29+'Pesos GPS'!$B$30</f>
        <v>2.37807146</v>
      </c>
      <c r="V273" s="5">
        <f t="shared" si="1"/>
        <v>0.9151397857</v>
      </c>
      <c r="W273" s="3">
        <f t="shared" si="2"/>
        <v>1</v>
      </c>
      <c r="X273" s="3">
        <f t="shared" si="3"/>
        <v>1</v>
      </c>
      <c r="Y273" s="9">
        <f t="shared" si="4"/>
        <v>0</v>
      </c>
      <c r="Z273" s="9">
        <v>0.9151397857284129</v>
      </c>
      <c r="AA273" s="3" t="str">
        <f t="shared" si="5"/>
        <v>OK</v>
      </c>
    </row>
    <row r="274" ht="15.75" customHeight="1">
      <c r="A274" s="3">
        <v>273.0</v>
      </c>
      <c r="B274" s="3" t="s">
        <v>20</v>
      </c>
      <c r="C274" s="7">
        <v>35.66134</v>
      </c>
      <c r="D274" s="7">
        <v>139.659471</v>
      </c>
      <c r="E274" s="3">
        <v>1.0</v>
      </c>
      <c r="F274" s="3" t="s">
        <v>55</v>
      </c>
      <c r="G274" s="5">
        <f>(C274-'Pesos GPS'!$L$4)/'Pesos GPS'!$L$5</f>
        <v>-1.006127636</v>
      </c>
      <c r="H274" s="5">
        <f>(D274-'Pesos GPS'!$L$6)/'Pesos GPS'!$L$7</f>
        <v>1.00010172</v>
      </c>
      <c r="I274" s="5">
        <f>MAX(0,G274*'Pesos GPS'!B$6+H274*'Pesos GPS'!B$7+'Pesos GPS'!B$8)</f>
        <v>0</v>
      </c>
      <c r="J274" s="5">
        <f>MAX(0,G274*'Pesos GPS'!C$6+H274*'Pesos GPS'!C$7+'Pesos GPS'!C$8)</f>
        <v>0</v>
      </c>
      <c r="K274" s="5">
        <f>MAX(0,G274*'Pesos GPS'!D$6+H274*'Pesos GPS'!D$7+'Pesos GPS'!D$8)</f>
        <v>0</v>
      </c>
      <c r="L274" s="5">
        <f>MAX(0,G274*'Pesos GPS'!E$6+H274*'Pesos GPS'!E$7+'Pesos GPS'!E$8)</f>
        <v>0</v>
      </c>
      <c r="M274" s="5">
        <f>MAX(0,I274*'Pesos GPS'!B$13+J274*'Pesos GPS'!B$14+K274*'Pesos GPS'!B$15+L274*'Pesos GPS'!B$16+'Pesos GPS'!B$17)</f>
        <v>0</v>
      </c>
      <c r="N274" s="5">
        <f>MAX(0,I274*'Pesos GPS'!C$13+J274*'Pesos GPS'!C$14+K274*'Pesos GPS'!C$15+L274*'Pesos GPS'!C$16+'Pesos GPS'!C$17)</f>
        <v>0</v>
      </c>
      <c r="O274" s="5">
        <f>MAX(0,I274*'Pesos GPS'!D$13+J274*'Pesos GPS'!D$14+K274*'Pesos GPS'!D$15+L274*'Pesos GPS'!D$16+'Pesos GPS'!D$17)</f>
        <v>0</v>
      </c>
      <c r="P274" s="5">
        <f>MAX(0,I274*'Pesos GPS'!E$13+J274*'Pesos GPS'!E$14+K274*'Pesos GPS'!E$15+L274*'Pesos GPS'!E$16+'Pesos GPS'!E$17)</f>
        <v>0</v>
      </c>
      <c r="Q274" s="5">
        <f>MAX(0,I274*'Pesos GPS'!F$13+J274*'Pesos GPS'!F$14+K274*'Pesos GPS'!F$15+L274*'Pesos GPS'!F$16+'Pesos GPS'!F$17)</f>
        <v>0</v>
      </c>
      <c r="R274" s="5">
        <f>MAX(0,I274*'Pesos GPS'!G$13+J274*'Pesos GPS'!G$14+K274*'Pesos GPS'!G$15+L274*'Pesos GPS'!G$16+'Pesos GPS'!G$17)</f>
        <v>0</v>
      </c>
      <c r="S274" s="5">
        <f>MAX(0,I274*'Pesos GPS'!H$13+J274*'Pesos GPS'!H$14+K274*'Pesos GPS'!H$15+L274*'Pesos GPS'!H$16+'Pesos GPS'!H$17)</f>
        <v>0</v>
      </c>
      <c r="T274" s="5">
        <f>MAX(0,I274*'Pesos GPS'!I$13+J274*'Pesos GPS'!I$14+K274*'Pesos GPS'!I$15+L274*'Pesos GPS'!I$16+'Pesos GPS'!I$17)</f>
        <v>0</v>
      </c>
      <c r="U274" s="5">
        <f>M274*'Pesos GPS'!$B$22+N274*'Pesos GPS'!$B$23+O274*'Pesos GPS'!$B$24+P274*'Pesos GPS'!$B$25+Q274*'Pesos GPS'!$B$26+R274*'Pesos GPS'!$B$27+S274*'Pesos GPS'!$B$28+T274*'Pesos GPS'!$B$29+'Pesos GPS'!$B$30</f>
        <v>2.37807146</v>
      </c>
      <c r="V274" s="5">
        <f t="shared" si="1"/>
        <v>0.9151397857</v>
      </c>
      <c r="W274" s="3">
        <f t="shared" si="2"/>
        <v>1</v>
      </c>
      <c r="X274" s="3">
        <f t="shared" si="3"/>
        <v>1</v>
      </c>
      <c r="Y274" s="9">
        <f t="shared" si="4"/>
        <v>0</v>
      </c>
      <c r="Z274" s="9">
        <v>0.9151397857284129</v>
      </c>
      <c r="AA274" s="3" t="str">
        <f t="shared" si="5"/>
        <v>OK</v>
      </c>
    </row>
    <row r="275" ht="15.75" customHeight="1">
      <c r="A275" s="3">
        <v>274.0</v>
      </c>
      <c r="B275" s="3" t="s">
        <v>20</v>
      </c>
      <c r="C275" s="7">
        <v>35.639187</v>
      </c>
      <c r="D275" s="7">
        <v>139.618811</v>
      </c>
      <c r="E275" s="3">
        <v>1.0</v>
      </c>
      <c r="F275" s="3" t="s">
        <v>55</v>
      </c>
      <c r="G275" s="5">
        <f>(C275-'Pesos GPS'!$L$4)/'Pesos GPS'!$L$5</f>
        <v>-1.014926876</v>
      </c>
      <c r="H275" s="5">
        <f>(D275-'Pesos GPS'!$L$6)/'Pesos GPS'!$L$7</f>
        <v>0.9997211076</v>
      </c>
      <c r="I275" s="5">
        <f>MAX(0,G275*'Pesos GPS'!B$6+H275*'Pesos GPS'!B$7+'Pesos GPS'!B$8)</f>
        <v>0</v>
      </c>
      <c r="J275" s="5">
        <f>MAX(0,G275*'Pesos GPS'!C$6+H275*'Pesos GPS'!C$7+'Pesos GPS'!C$8)</f>
        <v>0</v>
      </c>
      <c r="K275" s="5">
        <f>MAX(0,G275*'Pesos GPS'!D$6+H275*'Pesos GPS'!D$7+'Pesos GPS'!D$8)</f>
        <v>0</v>
      </c>
      <c r="L275" s="5">
        <f>MAX(0,G275*'Pesos GPS'!E$6+H275*'Pesos GPS'!E$7+'Pesos GPS'!E$8)</f>
        <v>0</v>
      </c>
      <c r="M275" s="5">
        <f>MAX(0,I275*'Pesos GPS'!B$13+J275*'Pesos GPS'!B$14+K275*'Pesos GPS'!B$15+L275*'Pesos GPS'!B$16+'Pesos GPS'!B$17)</f>
        <v>0</v>
      </c>
      <c r="N275" s="5">
        <f>MAX(0,I275*'Pesos GPS'!C$13+J275*'Pesos GPS'!C$14+K275*'Pesos GPS'!C$15+L275*'Pesos GPS'!C$16+'Pesos GPS'!C$17)</f>
        <v>0</v>
      </c>
      <c r="O275" s="5">
        <f>MAX(0,I275*'Pesos GPS'!D$13+J275*'Pesos GPS'!D$14+K275*'Pesos GPS'!D$15+L275*'Pesos GPS'!D$16+'Pesos GPS'!D$17)</f>
        <v>0</v>
      </c>
      <c r="P275" s="5">
        <f>MAX(0,I275*'Pesos GPS'!E$13+J275*'Pesos GPS'!E$14+K275*'Pesos GPS'!E$15+L275*'Pesos GPS'!E$16+'Pesos GPS'!E$17)</f>
        <v>0</v>
      </c>
      <c r="Q275" s="5">
        <f>MAX(0,I275*'Pesos GPS'!F$13+J275*'Pesos GPS'!F$14+K275*'Pesos GPS'!F$15+L275*'Pesos GPS'!F$16+'Pesos GPS'!F$17)</f>
        <v>0</v>
      </c>
      <c r="R275" s="5">
        <f>MAX(0,I275*'Pesos GPS'!G$13+J275*'Pesos GPS'!G$14+K275*'Pesos GPS'!G$15+L275*'Pesos GPS'!G$16+'Pesos GPS'!G$17)</f>
        <v>0</v>
      </c>
      <c r="S275" s="5">
        <f>MAX(0,I275*'Pesos GPS'!H$13+J275*'Pesos GPS'!H$14+K275*'Pesos GPS'!H$15+L275*'Pesos GPS'!H$16+'Pesos GPS'!H$17)</f>
        <v>0</v>
      </c>
      <c r="T275" s="5">
        <f>MAX(0,I275*'Pesos GPS'!I$13+J275*'Pesos GPS'!I$14+K275*'Pesos GPS'!I$15+L275*'Pesos GPS'!I$16+'Pesos GPS'!I$17)</f>
        <v>0</v>
      </c>
      <c r="U275" s="5">
        <f>M275*'Pesos GPS'!$B$22+N275*'Pesos GPS'!$B$23+O275*'Pesos GPS'!$B$24+P275*'Pesos GPS'!$B$25+Q275*'Pesos GPS'!$B$26+R275*'Pesos GPS'!$B$27+S275*'Pesos GPS'!$B$28+T275*'Pesos GPS'!$B$29+'Pesos GPS'!$B$30</f>
        <v>2.37807146</v>
      </c>
      <c r="V275" s="5">
        <f t="shared" si="1"/>
        <v>0.9151397857</v>
      </c>
      <c r="W275" s="3">
        <f t="shared" si="2"/>
        <v>1</v>
      </c>
      <c r="X275" s="3">
        <f t="shared" si="3"/>
        <v>1</v>
      </c>
      <c r="Y275" s="9">
        <f t="shared" si="4"/>
        <v>0</v>
      </c>
      <c r="Z275" s="9">
        <v>0.9151397857284129</v>
      </c>
      <c r="AA275" s="3" t="str">
        <f t="shared" si="5"/>
        <v>OK</v>
      </c>
    </row>
    <row r="276" ht="15.75" customHeight="1">
      <c r="A276" s="3">
        <v>275.0</v>
      </c>
      <c r="B276" s="3" t="s">
        <v>20</v>
      </c>
      <c r="C276" s="7">
        <v>35.653997</v>
      </c>
      <c r="D276" s="7">
        <v>139.656945</v>
      </c>
      <c r="E276" s="3">
        <v>1.0</v>
      </c>
      <c r="F276" s="3" t="s">
        <v>55</v>
      </c>
      <c r="G276" s="5">
        <f>(C276-'Pesos GPS'!$L$4)/'Pesos GPS'!$L$5</f>
        <v>-1.009044298</v>
      </c>
      <c r="H276" s="5">
        <f>(D276-'Pesos GPS'!$L$6)/'Pesos GPS'!$L$7</f>
        <v>1.000078075</v>
      </c>
      <c r="I276" s="5">
        <f>MAX(0,G276*'Pesos GPS'!B$6+H276*'Pesos GPS'!B$7+'Pesos GPS'!B$8)</f>
        <v>0</v>
      </c>
      <c r="J276" s="5">
        <f>MAX(0,G276*'Pesos GPS'!C$6+H276*'Pesos GPS'!C$7+'Pesos GPS'!C$8)</f>
        <v>0</v>
      </c>
      <c r="K276" s="5">
        <f>MAX(0,G276*'Pesos GPS'!D$6+H276*'Pesos GPS'!D$7+'Pesos GPS'!D$8)</f>
        <v>0</v>
      </c>
      <c r="L276" s="5">
        <f>MAX(0,G276*'Pesos GPS'!E$6+H276*'Pesos GPS'!E$7+'Pesos GPS'!E$8)</f>
        <v>0</v>
      </c>
      <c r="M276" s="5">
        <f>MAX(0,I276*'Pesos GPS'!B$13+J276*'Pesos GPS'!B$14+K276*'Pesos GPS'!B$15+L276*'Pesos GPS'!B$16+'Pesos GPS'!B$17)</f>
        <v>0</v>
      </c>
      <c r="N276" s="5">
        <f>MAX(0,I276*'Pesos GPS'!C$13+J276*'Pesos GPS'!C$14+K276*'Pesos GPS'!C$15+L276*'Pesos GPS'!C$16+'Pesos GPS'!C$17)</f>
        <v>0</v>
      </c>
      <c r="O276" s="5">
        <f>MAX(0,I276*'Pesos GPS'!D$13+J276*'Pesos GPS'!D$14+K276*'Pesos GPS'!D$15+L276*'Pesos GPS'!D$16+'Pesos GPS'!D$17)</f>
        <v>0</v>
      </c>
      <c r="P276" s="5">
        <f>MAX(0,I276*'Pesos GPS'!E$13+J276*'Pesos GPS'!E$14+K276*'Pesos GPS'!E$15+L276*'Pesos GPS'!E$16+'Pesos GPS'!E$17)</f>
        <v>0</v>
      </c>
      <c r="Q276" s="5">
        <f>MAX(0,I276*'Pesos GPS'!F$13+J276*'Pesos GPS'!F$14+K276*'Pesos GPS'!F$15+L276*'Pesos GPS'!F$16+'Pesos GPS'!F$17)</f>
        <v>0</v>
      </c>
      <c r="R276" s="5">
        <f>MAX(0,I276*'Pesos GPS'!G$13+J276*'Pesos GPS'!G$14+K276*'Pesos GPS'!G$15+L276*'Pesos GPS'!G$16+'Pesos GPS'!G$17)</f>
        <v>0</v>
      </c>
      <c r="S276" s="5">
        <f>MAX(0,I276*'Pesos GPS'!H$13+J276*'Pesos GPS'!H$14+K276*'Pesos GPS'!H$15+L276*'Pesos GPS'!H$16+'Pesos GPS'!H$17)</f>
        <v>0</v>
      </c>
      <c r="T276" s="5">
        <f>MAX(0,I276*'Pesos GPS'!I$13+J276*'Pesos GPS'!I$14+K276*'Pesos GPS'!I$15+L276*'Pesos GPS'!I$16+'Pesos GPS'!I$17)</f>
        <v>0</v>
      </c>
      <c r="U276" s="5">
        <f>M276*'Pesos GPS'!$B$22+N276*'Pesos GPS'!$B$23+O276*'Pesos GPS'!$B$24+P276*'Pesos GPS'!$B$25+Q276*'Pesos GPS'!$B$26+R276*'Pesos GPS'!$B$27+S276*'Pesos GPS'!$B$28+T276*'Pesos GPS'!$B$29+'Pesos GPS'!$B$30</f>
        <v>2.37807146</v>
      </c>
      <c r="V276" s="5">
        <f t="shared" si="1"/>
        <v>0.9151397857</v>
      </c>
      <c r="W276" s="3">
        <f t="shared" si="2"/>
        <v>1</v>
      </c>
      <c r="X276" s="3">
        <f t="shared" si="3"/>
        <v>1</v>
      </c>
      <c r="Y276" s="9">
        <f t="shared" si="4"/>
        <v>0</v>
      </c>
      <c r="Z276" s="9">
        <v>0.9151397857284129</v>
      </c>
      <c r="AA276" s="3" t="str">
        <f t="shared" si="5"/>
        <v>OK</v>
      </c>
    </row>
    <row r="277" ht="15.75" customHeight="1">
      <c r="A277" s="3">
        <v>276.0</v>
      </c>
      <c r="B277" s="3" t="s">
        <v>20</v>
      </c>
      <c r="C277" s="7">
        <v>35.66725</v>
      </c>
      <c r="D277" s="7">
        <v>139.599381</v>
      </c>
      <c r="E277" s="3">
        <v>1.0</v>
      </c>
      <c r="F277" s="3" t="s">
        <v>55</v>
      </c>
      <c r="G277" s="5">
        <f>(C277-'Pesos GPS'!$L$4)/'Pesos GPS'!$L$5</f>
        <v>-1.003780165</v>
      </c>
      <c r="H277" s="5">
        <f>(D277-'Pesos GPS'!$L$6)/'Pesos GPS'!$L$7</f>
        <v>0.9995392259</v>
      </c>
      <c r="I277" s="5">
        <f>MAX(0,G277*'Pesos GPS'!B$6+H277*'Pesos GPS'!B$7+'Pesos GPS'!B$8)</f>
        <v>0</v>
      </c>
      <c r="J277" s="5">
        <f>MAX(0,G277*'Pesos GPS'!C$6+H277*'Pesos GPS'!C$7+'Pesos GPS'!C$8)</f>
        <v>0</v>
      </c>
      <c r="K277" s="5">
        <f>MAX(0,G277*'Pesos GPS'!D$6+H277*'Pesos GPS'!D$7+'Pesos GPS'!D$8)</f>
        <v>0</v>
      </c>
      <c r="L277" s="5">
        <f>MAX(0,G277*'Pesos GPS'!E$6+H277*'Pesos GPS'!E$7+'Pesos GPS'!E$8)</f>
        <v>0</v>
      </c>
      <c r="M277" s="5">
        <f>MAX(0,I277*'Pesos GPS'!B$13+J277*'Pesos GPS'!B$14+K277*'Pesos GPS'!B$15+L277*'Pesos GPS'!B$16+'Pesos GPS'!B$17)</f>
        <v>0</v>
      </c>
      <c r="N277" s="5">
        <f>MAX(0,I277*'Pesos GPS'!C$13+J277*'Pesos GPS'!C$14+K277*'Pesos GPS'!C$15+L277*'Pesos GPS'!C$16+'Pesos GPS'!C$17)</f>
        <v>0</v>
      </c>
      <c r="O277" s="5">
        <f>MAX(0,I277*'Pesos GPS'!D$13+J277*'Pesos GPS'!D$14+K277*'Pesos GPS'!D$15+L277*'Pesos GPS'!D$16+'Pesos GPS'!D$17)</f>
        <v>0</v>
      </c>
      <c r="P277" s="5">
        <f>MAX(0,I277*'Pesos GPS'!E$13+J277*'Pesos GPS'!E$14+K277*'Pesos GPS'!E$15+L277*'Pesos GPS'!E$16+'Pesos GPS'!E$17)</f>
        <v>0</v>
      </c>
      <c r="Q277" s="5">
        <f>MAX(0,I277*'Pesos GPS'!F$13+J277*'Pesos GPS'!F$14+K277*'Pesos GPS'!F$15+L277*'Pesos GPS'!F$16+'Pesos GPS'!F$17)</f>
        <v>0</v>
      </c>
      <c r="R277" s="5">
        <f>MAX(0,I277*'Pesos GPS'!G$13+J277*'Pesos GPS'!G$14+K277*'Pesos GPS'!G$15+L277*'Pesos GPS'!G$16+'Pesos GPS'!G$17)</f>
        <v>0</v>
      </c>
      <c r="S277" s="5">
        <f>MAX(0,I277*'Pesos GPS'!H$13+J277*'Pesos GPS'!H$14+K277*'Pesos GPS'!H$15+L277*'Pesos GPS'!H$16+'Pesos GPS'!H$17)</f>
        <v>0</v>
      </c>
      <c r="T277" s="5">
        <f>MAX(0,I277*'Pesos GPS'!I$13+J277*'Pesos GPS'!I$14+K277*'Pesos GPS'!I$15+L277*'Pesos GPS'!I$16+'Pesos GPS'!I$17)</f>
        <v>0</v>
      </c>
      <c r="U277" s="5">
        <f>M277*'Pesos GPS'!$B$22+N277*'Pesos GPS'!$B$23+O277*'Pesos GPS'!$B$24+P277*'Pesos GPS'!$B$25+Q277*'Pesos GPS'!$B$26+R277*'Pesos GPS'!$B$27+S277*'Pesos GPS'!$B$28+T277*'Pesos GPS'!$B$29+'Pesos GPS'!$B$30</f>
        <v>2.37807146</v>
      </c>
      <c r="V277" s="5">
        <f t="shared" si="1"/>
        <v>0.9151397857</v>
      </c>
      <c r="W277" s="3">
        <f t="shared" si="2"/>
        <v>1</v>
      </c>
      <c r="X277" s="3">
        <f t="shared" si="3"/>
        <v>1</v>
      </c>
      <c r="Y277" s="9">
        <f t="shared" si="4"/>
        <v>0</v>
      </c>
      <c r="Z277" s="9">
        <v>0.9151397857284129</v>
      </c>
      <c r="AA277" s="3" t="str">
        <f t="shared" si="5"/>
        <v>OK</v>
      </c>
    </row>
    <row r="278" ht="15.75" customHeight="1">
      <c r="A278" s="3">
        <v>277.0</v>
      </c>
      <c r="B278" s="3" t="s">
        <v>20</v>
      </c>
      <c r="C278" s="7">
        <v>35.69629</v>
      </c>
      <c r="D278" s="7">
        <v>139.697067</v>
      </c>
      <c r="E278" s="3">
        <v>1.0</v>
      </c>
      <c r="F278" s="3" t="s">
        <v>55</v>
      </c>
      <c r="G278" s="5">
        <f>(C278-'Pesos GPS'!$L$4)/'Pesos GPS'!$L$5</f>
        <v>-0.992245387</v>
      </c>
      <c r="H278" s="5">
        <f>(D278-'Pesos GPS'!$L$6)/'Pesos GPS'!$L$7</f>
        <v>1.000453652</v>
      </c>
      <c r="I278" s="5">
        <f>MAX(0,G278*'Pesos GPS'!B$6+H278*'Pesos GPS'!B$7+'Pesos GPS'!B$8)</f>
        <v>0</v>
      </c>
      <c r="J278" s="5">
        <f>MAX(0,G278*'Pesos GPS'!C$6+H278*'Pesos GPS'!C$7+'Pesos GPS'!C$8)</f>
        <v>0</v>
      </c>
      <c r="K278" s="5">
        <f>MAX(0,G278*'Pesos GPS'!D$6+H278*'Pesos GPS'!D$7+'Pesos GPS'!D$8)</f>
        <v>0</v>
      </c>
      <c r="L278" s="5">
        <f>MAX(0,G278*'Pesos GPS'!E$6+H278*'Pesos GPS'!E$7+'Pesos GPS'!E$8)</f>
        <v>0</v>
      </c>
      <c r="M278" s="5">
        <f>MAX(0,I278*'Pesos GPS'!B$13+J278*'Pesos GPS'!B$14+K278*'Pesos GPS'!B$15+L278*'Pesos GPS'!B$16+'Pesos GPS'!B$17)</f>
        <v>0</v>
      </c>
      <c r="N278" s="5">
        <f>MAX(0,I278*'Pesos GPS'!C$13+J278*'Pesos GPS'!C$14+K278*'Pesos GPS'!C$15+L278*'Pesos GPS'!C$16+'Pesos GPS'!C$17)</f>
        <v>0</v>
      </c>
      <c r="O278" s="5">
        <f>MAX(0,I278*'Pesos GPS'!D$13+J278*'Pesos GPS'!D$14+K278*'Pesos GPS'!D$15+L278*'Pesos GPS'!D$16+'Pesos GPS'!D$17)</f>
        <v>0</v>
      </c>
      <c r="P278" s="5">
        <f>MAX(0,I278*'Pesos GPS'!E$13+J278*'Pesos GPS'!E$14+K278*'Pesos GPS'!E$15+L278*'Pesos GPS'!E$16+'Pesos GPS'!E$17)</f>
        <v>0</v>
      </c>
      <c r="Q278" s="5">
        <f>MAX(0,I278*'Pesos GPS'!F$13+J278*'Pesos GPS'!F$14+K278*'Pesos GPS'!F$15+L278*'Pesos GPS'!F$16+'Pesos GPS'!F$17)</f>
        <v>0</v>
      </c>
      <c r="R278" s="5">
        <f>MAX(0,I278*'Pesos GPS'!G$13+J278*'Pesos GPS'!G$14+K278*'Pesos GPS'!G$15+L278*'Pesos GPS'!G$16+'Pesos GPS'!G$17)</f>
        <v>0</v>
      </c>
      <c r="S278" s="5">
        <f>MAX(0,I278*'Pesos GPS'!H$13+J278*'Pesos GPS'!H$14+K278*'Pesos GPS'!H$15+L278*'Pesos GPS'!H$16+'Pesos GPS'!H$17)</f>
        <v>0</v>
      </c>
      <c r="T278" s="5">
        <f>MAX(0,I278*'Pesos GPS'!I$13+J278*'Pesos GPS'!I$14+K278*'Pesos GPS'!I$15+L278*'Pesos GPS'!I$16+'Pesos GPS'!I$17)</f>
        <v>0</v>
      </c>
      <c r="U278" s="5">
        <f>M278*'Pesos GPS'!$B$22+N278*'Pesos GPS'!$B$23+O278*'Pesos GPS'!$B$24+P278*'Pesos GPS'!$B$25+Q278*'Pesos GPS'!$B$26+R278*'Pesos GPS'!$B$27+S278*'Pesos GPS'!$B$28+T278*'Pesos GPS'!$B$29+'Pesos GPS'!$B$30</f>
        <v>2.37807146</v>
      </c>
      <c r="V278" s="5">
        <f t="shared" si="1"/>
        <v>0.9151397857</v>
      </c>
      <c r="W278" s="3">
        <f t="shared" si="2"/>
        <v>1</v>
      </c>
      <c r="X278" s="3">
        <f t="shared" si="3"/>
        <v>1</v>
      </c>
      <c r="Y278" s="9">
        <f t="shared" si="4"/>
        <v>0</v>
      </c>
      <c r="Z278" s="9">
        <v>0.9151397857284129</v>
      </c>
      <c r="AA278" s="3" t="str">
        <f t="shared" si="5"/>
        <v>OK</v>
      </c>
    </row>
    <row r="279" ht="15.75" customHeight="1">
      <c r="A279" s="3">
        <v>278.0</v>
      </c>
      <c r="B279" s="3" t="s">
        <v>20</v>
      </c>
      <c r="C279" s="7">
        <v>35.719219</v>
      </c>
      <c r="D279" s="7">
        <v>139.693978</v>
      </c>
      <c r="E279" s="3">
        <v>1.0</v>
      </c>
      <c r="F279" s="3" t="s">
        <v>55</v>
      </c>
      <c r="G279" s="5">
        <f>(C279-'Pesos GPS'!$L$4)/'Pesos GPS'!$L$5</f>
        <v>-0.9831379168</v>
      </c>
      <c r="H279" s="5">
        <f>(D279-'Pesos GPS'!$L$6)/'Pesos GPS'!$L$7</f>
        <v>1.000424736</v>
      </c>
      <c r="I279" s="5">
        <f>MAX(0,G279*'Pesos GPS'!B$6+H279*'Pesos GPS'!B$7+'Pesos GPS'!B$8)</f>
        <v>0</v>
      </c>
      <c r="J279" s="5">
        <f>MAX(0,G279*'Pesos GPS'!C$6+H279*'Pesos GPS'!C$7+'Pesos GPS'!C$8)</f>
        <v>0</v>
      </c>
      <c r="K279" s="5">
        <f>MAX(0,G279*'Pesos GPS'!D$6+H279*'Pesos GPS'!D$7+'Pesos GPS'!D$8)</f>
        <v>0</v>
      </c>
      <c r="L279" s="5">
        <f>MAX(0,G279*'Pesos GPS'!E$6+H279*'Pesos GPS'!E$7+'Pesos GPS'!E$8)</f>
        <v>0</v>
      </c>
      <c r="M279" s="5">
        <f>MAX(0,I279*'Pesos GPS'!B$13+J279*'Pesos GPS'!B$14+K279*'Pesos GPS'!B$15+L279*'Pesos GPS'!B$16+'Pesos GPS'!B$17)</f>
        <v>0</v>
      </c>
      <c r="N279" s="5">
        <f>MAX(0,I279*'Pesos GPS'!C$13+J279*'Pesos GPS'!C$14+K279*'Pesos GPS'!C$15+L279*'Pesos GPS'!C$16+'Pesos GPS'!C$17)</f>
        <v>0</v>
      </c>
      <c r="O279" s="5">
        <f>MAX(0,I279*'Pesos GPS'!D$13+J279*'Pesos GPS'!D$14+K279*'Pesos GPS'!D$15+L279*'Pesos GPS'!D$16+'Pesos GPS'!D$17)</f>
        <v>0</v>
      </c>
      <c r="P279" s="5">
        <f>MAX(0,I279*'Pesos GPS'!E$13+J279*'Pesos GPS'!E$14+K279*'Pesos GPS'!E$15+L279*'Pesos GPS'!E$16+'Pesos GPS'!E$17)</f>
        <v>0</v>
      </c>
      <c r="Q279" s="5">
        <f>MAX(0,I279*'Pesos GPS'!F$13+J279*'Pesos GPS'!F$14+K279*'Pesos GPS'!F$15+L279*'Pesos GPS'!F$16+'Pesos GPS'!F$17)</f>
        <v>0</v>
      </c>
      <c r="R279" s="5">
        <f>MAX(0,I279*'Pesos GPS'!G$13+J279*'Pesos GPS'!G$14+K279*'Pesos GPS'!G$15+L279*'Pesos GPS'!G$16+'Pesos GPS'!G$17)</f>
        <v>0</v>
      </c>
      <c r="S279" s="5">
        <f>MAX(0,I279*'Pesos GPS'!H$13+J279*'Pesos GPS'!H$14+K279*'Pesos GPS'!H$15+L279*'Pesos GPS'!H$16+'Pesos GPS'!H$17)</f>
        <v>0</v>
      </c>
      <c r="T279" s="5">
        <f>MAX(0,I279*'Pesos GPS'!I$13+J279*'Pesos GPS'!I$14+K279*'Pesos GPS'!I$15+L279*'Pesos GPS'!I$16+'Pesos GPS'!I$17)</f>
        <v>0</v>
      </c>
      <c r="U279" s="5">
        <f>M279*'Pesos GPS'!$B$22+N279*'Pesos GPS'!$B$23+O279*'Pesos GPS'!$B$24+P279*'Pesos GPS'!$B$25+Q279*'Pesos GPS'!$B$26+R279*'Pesos GPS'!$B$27+S279*'Pesos GPS'!$B$28+T279*'Pesos GPS'!$B$29+'Pesos GPS'!$B$30</f>
        <v>2.37807146</v>
      </c>
      <c r="V279" s="5">
        <f t="shared" si="1"/>
        <v>0.9151397857</v>
      </c>
      <c r="W279" s="3">
        <f t="shared" si="2"/>
        <v>1</v>
      </c>
      <c r="X279" s="3">
        <f t="shared" si="3"/>
        <v>1</v>
      </c>
      <c r="Y279" s="9">
        <f t="shared" si="4"/>
        <v>0</v>
      </c>
      <c r="Z279" s="9">
        <v>0.9151397857284129</v>
      </c>
      <c r="AA279" s="3" t="str">
        <f t="shared" si="5"/>
        <v>OK</v>
      </c>
    </row>
    <row r="280" ht="15.75" customHeight="1">
      <c r="A280" s="3">
        <v>279.0</v>
      </c>
      <c r="B280" s="3" t="s">
        <v>20</v>
      </c>
      <c r="C280" s="7">
        <v>35.641645</v>
      </c>
      <c r="D280" s="7">
        <v>139.641462</v>
      </c>
      <c r="E280" s="3">
        <v>1.0</v>
      </c>
      <c r="F280" s="3" t="s">
        <v>55</v>
      </c>
      <c r="G280" s="5">
        <f>(C280-'Pesos GPS'!$L$4)/'Pesos GPS'!$L$5</f>
        <v>-1.013950551</v>
      </c>
      <c r="H280" s="5">
        <f>(D280-'Pesos GPS'!$L$6)/'Pesos GPS'!$L$7</f>
        <v>0.9999331406</v>
      </c>
      <c r="I280" s="5">
        <f>MAX(0,G280*'Pesos GPS'!B$6+H280*'Pesos GPS'!B$7+'Pesos GPS'!B$8)</f>
        <v>0</v>
      </c>
      <c r="J280" s="5">
        <f>MAX(0,G280*'Pesos GPS'!C$6+H280*'Pesos GPS'!C$7+'Pesos GPS'!C$8)</f>
        <v>0</v>
      </c>
      <c r="K280" s="5">
        <f>MAX(0,G280*'Pesos GPS'!D$6+H280*'Pesos GPS'!D$7+'Pesos GPS'!D$8)</f>
        <v>0</v>
      </c>
      <c r="L280" s="5">
        <f>MAX(0,G280*'Pesos GPS'!E$6+H280*'Pesos GPS'!E$7+'Pesos GPS'!E$8)</f>
        <v>0</v>
      </c>
      <c r="M280" s="5">
        <f>MAX(0,I280*'Pesos GPS'!B$13+J280*'Pesos GPS'!B$14+K280*'Pesos GPS'!B$15+L280*'Pesos GPS'!B$16+'Pesos GPS'!B$17)</f>
        <v>0</v>
      </c>
      <c r="N280" s="5">
        <f>MAX(0,I280*'Pesos GPS'!C$13+J280*'Pesos GPS'!C$14+K280*'Pesos GPS'!C$15+L280*'Pesos GPS'!C$16+'Pesos GPS'!C$17)</f>
        <v>0</v>
      </c>
      <c r="O280" s="5">
        <f>MAX(0,I280*'Pesos GPS'!D$13+J280*'Pesos GPS'!D$14+K280*'Pesos GPS'!D$15+L280*'Pesos GPS'!D$16+'Pesos GPS'!D$17)</f>
        <v>0</v>
      </c>
      <c r="P280" s="5">
        <f>MAX(0,I280*'Pesos GPS'!E$13+J280*'Pesos GPS'!E$14+K280*'Pesos GPS'!E$15+L280*'Pesos GPS'!E$16+'Pesos GPS'!E$17)</f>
        <v>0</v>
      </c>
      <c r="Q280" s="5">
        <f>MAX(0,I280*'Pesos GPS'!F$13+J280*'Pesos GPS'!F$14+K280*'Pesos GPS'!F$15+L280*'Pesos GPS'!F$16+'Pesos GPS'!F$17)</f>
        <v>0</v>
      </c>
      <c r="R280" s="5">
        <f>MAX(0,I280*'Pesos GPS'!G$13+J280*'Pesos GPS'!G$14+K280*'Pesos GPS'!G$15+L280*'Pesos GPS'!G$16+'Pesos GPS'!G$17)</f>
        <v>0</v>
      </c>
      <c r="S280" s="5">
        <f>MAX(0,I280*'Pesos GPS'!H$13+J280*'Pesos GPS'!H$14+K280*'Pesos GPS'!H$15+L280*'Pesos GPS'!H$16+'Pesos GPS'!H$17)</f>
        <v>0</v>
      </c>
      <c r="T280" s="5">
        <f>MAX(0,I280*'Pesos GPS'!I$13+J280*'Pesos GPS'!I$14+K280*'Pesos GPS'!I$15+L280*'Pesos GPS'!I$16+'Pesos GPS'!I$17)</f>
        <v>0</v>
      </c>
      <c r="U280" s="5">
        <f>M280*'Pesos GPS'!$B$22+N280*'Pesos GPS'!$B$23+O280*'Pesos GPS'!$B$24+P280*'Pesos GPS'!$B$25+Q280*'Pesos GPS'!$B$26+R280*'Pesos GPS'!$B$27+S280*'Pesos GPS'!$B$28+T280*'Pesos GPS'!$B$29+'Pesos GPS'!$B$30</f>
        <v>2.37807146</v>
      </c>
      <c r="V280" s="5">
        <f t="shared" si="1"/>
        <v>0.9151397857</v>
      </c>
      <c r="W280" s="3">
        <f t="shared" si="2"/>
        <v>1</v>
      </c>
      <c r="X280" s="3">
        <f t="shared" si="3"/>
        <v>1</v>
      </c>
      <c r="Y280" s="9">
        <f t="shared" si="4"/>
        <v>0</v>
      </c>
      <c r="Z280" s="9">
        <v>0.9151397857284129</v>
      </c>
      <c r="AA280" s="3" t="str">
        <f t="shared" si="5"/>
        <v>OK</v>
      </c>
    </row>
    <row r="281" ht="15.75" customHeight="1">
      <c r="A281" s="3">
        <v>280.0</v>
      </c>
      <c r="B281" s="3" t="s">
        <v>20</v>
      </c>
      <c r="C281" s="7">
        <v>35.686021</v>
      </c>
      <c r="D281" s="7">
        <v>139.663021</v>
      </c>
      <c r="E281" s="3">
        <v>1.0</v>
      </c>
      <c r="F281" s="3" t="s">
        <v>55</v>
      </c>
      <c r="G281" s="5">
        <f>(C281-'Pesos GPS'!$L$4)/'Pesos GPS'!$L$5</f>
        <v>-0.9963242658</v>
      </c>
      <c r="H281" s="5">
        <f>(D281-'Pesos GPS'!$L$6)/'Pesos GPS'!$L$7</f>
        <v>1.000134952</v>
      </c>
      <c r="I281" s="5">
        <f>MAX(0,G281*'Pesos GPS'!B$6+H281*'Pesos GPS'!B$7+'Pesos GPS'!B$8)</f>
        <v>0</v>
      </c>
      <c r="J281" s="5">
        <f>MAX(0,G281*'Pesos GPS'!C$6+H281*'Pesos GPS'!C$7+'Pesos GPS'!C$8)</f>
        <v>0</v>
      </c>
      <c r="K281" s="5">
        <f>MAX(0,G281*'Pesos GPS'!D$6+H281*'Pesos GPS'!D$7+'Pesos GPS'!D$8)</f>
        <v>0</v>
      </c>
      <c r="L281" s="5">
        <f>MAX(0,G281*'Pesos GPS'!E$6+H281*'Pesos GPS'!E$7+'Pesos GPS'!E$8)</f>
        <v>0</v>
      </c>
      <c r="M281" s="5">
        <f>MAX(0,I281*'Pesos GPS'!B$13+J281*'Pesos GPS'!B$14+K281*'Pesos GPS'!B$15+L281*'Pesos GPS'!B$16+'Pesos GPS'!B$17)</f>
        <v>0</v>
      </c>
      <c r="N281" s="5">
        <f>MAX(0,I281*'Pesos GPS'!C$13+J281*'Pesos GPS'!C$14+K281*'Pesos GPS'!C$15+L281*'Pesos GPS'!C$16+'Pesos GPS'!C$17)</f>
        <v>0</v>
      </c>
      <c r="O281" s="5">
        <f>MAX(0,I281*'Pesos GPS'!D$13+J281*'Pesos GPS'!D$14+K281*'Pesos GPS'!D$15+L281*'Pesos GPS'!D$16+'Pesos GPS'!D$17)</f>
        <v>0</v>
      </c>
      <c r="P281" s="5">
        <f>MAX(0,I281*'Pesos GPS'!E$13+J281*'Pesos GPS'!E$14+K281*'Pesos GPS'!E$15+L281*'Pesos GPS'!E$16+'Pesos GPS'!E$17)</f>
        <v>0</v>
      </c>
      <c r="Q281" s="5">
        <f>MAX(0,I281*'Pesos GPS'!F$13+J281*'Pesos GPS'!F$14+K281*'Pesos GPS'!F$15+L281*'Pesos GPS'!F$16+'Pesos GPS'!F$17)</f>
        <v>0</v>
      </c>
      <c r="R281" s="5">
        <f>MAX(0,I281*'Pesos GPS'!G$13+J281*'Pesos GPS'!G$14+K281*'Pesos GPS'!G$15+L281*'Pesos GPS'!G$16+'Pesos GPS'!G$17)</f>
        <v>0</v>
      </c>
      <c r="S281" s="5">
        <f>MAX(0,I281*'Pesos GPS'!H$13+J281*'Pesos GPS'!H$14+K281*'Pesos GPS'!H$15+L281*'Pesos GPS'!H$16+'Pesos GPS'!H$17)</f>
        <v>0</v>
      </c>
      <c r="T281" s="5">
        <f>MAX(0,I281*'Pesos GPS'!I$13+J281*'Pesos GPS'!I$14+K281*'Pesos GPS'!I$15+L281*'Pesos GPS'!I$16+'Pesos GPS'!I$17)</f>
        <v>0</v>
      </c>
      <c r="U281" s="5">
        <f>M281*'Pesos GPS'!$B$22+N281*'Pesos GPS'!$B$23+O281*'Pesos GPS'!$B$24+P281*'Pesos GPS'!$B$25+Q281*'Pesos GPS'!$B$26+R281*'Pesos GPS'!$B$27+S281*'Pesos GPS'!$B$28+T281*'Pesos GPS'!$B$29+'Pesos GPS'!$B$30</f>
        <v>2.37807146</v>
      </c>
      <c r="V281" s="5">
        <f t="shared" si="1"/>
        <v>0.9151397857</v>
      </c>
      <c r="W281" s="3">
        <f t="shared" si="2"/>
        <v>1</v>
      </c>
      <c r="X281" s="3">
        <f t="shared" si="3"/>
        <v>1</v>
      </c>
      <c r="Y281" s="9">
        <f t="shared" si="4"/>
        <v>0</v>
      </c>
      <c r="Z281" s="9">
        <v>0.9151397857284129</v>
      </c>
      <c r="AA281" s="3" t="str">
        <f t="shared" si="5"/>
        <v>OK</v>
      </c>
    </row>
    <row r="282" ht="15.75" customHeight="1">
      <c r="A282" s="3">
        <v>281.0</v>
      </c>
      <c r="B282" s="3" t="s">
        <v>20</v>
      </c>
      <c r="C282" s="7">
        <v>35.650186</v>
      </c>
      <c r="D282" s="7">
        <v>139.565953</v>
      </c>
      <c r="E282" s="3">
        <v>1.0</v>
      </c>
      <c r="F282" s="3" t="s">
        <v>55</v>
      </c>
      <c r="G282" s="5">
        <f>(C282-'Pesos GPS'!$L$4)/'Pesos GPS'!$L$5</f>
        <v>-1.010558039</v>
      </c>
      <c r="H282" s="5">
        <f>(D282-'Pesos GPS'!$L$6)/'Pesos GPS'!$L$7</f>
        <v>0.9992263108</v>
      </c>
      <c r="I282" s="5">
        <f>MAX(0,G282*'Pesos GPS'!B$6+H282*'Pesos GPS'!B$7+'Pesos GPS'!B$8)</f>
        <v>0</v>
      </c>
      <c r="J282" s="5">
        <f>MAX(0,G282*'Pesos GPS'!C$6+H282*'Pesos GPS'!C$7+'Pesos GPS'!C$8)</f>
        <v>0</v>
      </c>
      <c r="K282" s="5">
        <f>MAX(0,G282*'Pesos GPS'!D$6+H282*'Pesos GPS'!D$7+'Pesos GPS'!D$8)</f>
        <v>0</v>
      </c>
      <c r="L282" s="5">
        <f>MAX(0,G282*'Pesos GPS'!E$6+H282*'Pesos GPS'!E$7+'Pesos GPS'!E$8)</f>
        <v>0</v>
      </c>
      <c r="M282" s="5">
        <f>MAX(0,I282*'Pesos GPS'!B$13+J282*'Pesos GPS'!B$14+K282*'Pesos GPS'!B$15+L282*'Pesos GPS'!B$16+'Pesos GPS'!B$17)</f>
        <v>0</v>
      </c>
      <c r="N282" s="5">
        <f>MAX(0,I282*'Pesos GPS'!C$13+J282*'Pesos GPS'!C$14+K282*'Pesos GPS'!C$15+L282*'Pesos GPS'!C$16+'Pesos GPS'!C$17)</f>
        <v>0</v>
      </c>
      <c r="O282" s="5">
        <f>MAX(0,I282*'Pesos GPS'!D$13+J282*'Pesos GPS'!D$14+K282*'Pesos GPS'!D$15+L282*'Pesos GPS'!D$16+'Pesos GPS'!D$17)</f>
        <v>0</v>
      </c>
      <c r="P282" s="5">
        <f>MAX(0,I282*'Pesos GPS'!E$13+J282*'Pesos GPS'!E$14+K282*'Pesos GPS'!E$15+L282*'Pesos GPS'!E$16+'Pesos GPS'!E$17)</f>
        <v>0</v>
      </c>
      <c r="Q282" s="5">
        <f>MAX(0,I282*'Pesos GPS'!F$13+J282*'Pesos GPS'!F$14+K282*'Pesos GPS'!F$15+L282*'Pesos GPS'!F$16+'Pesos GPS'!F$17)</f>
        <v>0</v>
      </c>
      <c r="R282" s="5">
        <f>MAX(0,I282*'Pesos GPS'!G$13+J282*'Pesos GPS'!G$14+K282*'Pesos GPS'!G$15+L282*'Pesos GPS'!G$16+'Pesos GPS'!G$17)</f>
        <v>0</v>
      </c>
      <c r="S282" s="5">
        <f>MAX(0,I282*'Pesos GPS'!H$13+J282*'Pesos GPS'!H$14+K282*'Pesos GPS'!H$15+L282*'Pesos GPS'!H$16+'Pesos GPS'!H$17)</f>
        <v>0</v>
      </c>
      <c r="T282" s="5">
        <f>MAX(0,I282*'Pesos GPS'!I$13+J282*'Pesos GPS'!I$14+K282*'Pesos GPS'!I$15+L282*'Pesos GPS'!I$16+'Pesos GPS'!I$17)</f>
        <v>0</v>
      </c>
      <c r="U282" s="5">
        <f>M282*'Pesos GPS'!$B$22+N282*'Pesos GPS'!$B$23+O282*'Pesos GPS'!$B$24+P282*'Pesos GPS'!$B$25+Q282*'Pesos GPS'!$B$26+R282*'Pesos GPS'!$B$27+S282*'Pesos GPS'!$B$28+T282*'Pesos GPS'!$B$29+'Pesos GPS'!$B$30</f>
        <v>2.37807146</v>
      </c>
      <c r="V282" s="5">
        <f t="shared" si="1"/>
        <v>0.9151397857</v>
      </c>
      <c r="W282" s="3">
        <f t="shared" si="2"/>
        <v>1</v>
      </c>
      <c r="X282" s="3">
        <f t="shared" si="3"/>
        <v>1</v>
      </c>
      <c r="Y282" s="9">
        <f t="shared" si="4"/>
        <v>0</v>
      </c>
      <c r="Z282" s="9">
        <v>0.9151397857284129</v>
      </c>
      <c r="AA282" s="3" t="str">
        <f t="shared" si="5"/>
        <v>OK</v>
      </c>
    </row>
    <row r="283" ht="15.75" customHeight="1">
      <c r="A283" s="3">
        <v>282.0</v>
      </c>
      <c r="B283" s="3" t="s">
        <v>20</v>
      </c>
      <c r="C283" s="7">
        <v>35.688067</v>
      </c>
      <c r="D283" s="7">
        <v>139.609828</v>
      </c>
      <c r="E283" s="3">
        <v>1.0</v>
      </c>
      <c r="F283" s="3" t="s">
        <v>55</v>
      </c>
      <c r="G283" s="5">
        <f>(C283-'Pesos GPS'!$L$4)/'Pesos GPS'!$L$5</f>
        <v>-0.9955115882</v>
      </c>
      <c r="H283" s="5">
        <f>(D283-'Pesos GPS'!$L$6)/'Pesos GPS'!$L$7</f>
        <v>0.9996370189</v>
      </c>
      <c r="I283" s="5">
        <f>MAX(0,G283*'Pesos GPS'!B$6+H283*'Pesos GPS'!B$7+'Pesos GPS'!B$8)</f>
        <v>0</v>
      </c>
      <c r="J283" s="5">
        <f>MAX(0,G283*'Pesos GPS'!C$6+H283*'Pesos GPS'!C$7+'Pesos GPS'!C$8)</f>
        <v>0</v>
      </c>
      <c r="K283" s="5">
        <f>MAX(0,G283*'Pesos GPS'!D$6+H283*'Pesos GPS'!D$7+'Pesos GPS'!D$8)</f>
        <v>0</v>
      </c>
      <c r="L283" s="5">
        <f>MAX(0,G283*'Pesos GPS'!E$6+H283*'Pesos GPS'!E$7+'Pesos GPS'!E$8)</f>
        <v>0</v>
      </c>
      <c r="M283" s="5">
        <f>MAX(0,I283*'Pesos GPS'!B$13+J283*'Pesos GPS'!B$14+K283*'Pesos GPS'!B$15+L283*'Pesos GPS'!B$16+'Pesos GPS'!B$17)</f>
        <v>0</v>
      </c>
      <c r="N283" s="5">
        <f>MAX(0,I283*'Pesos GPS'!C$13+J283*'Pesos GPS'!C$14+K283*'Pesos GPS'!C$15+L283*'Pesos GPS'!C$16+'Pesos GPS'!C$17)</f>
        <v>0</v>
      </c>
      <c r="O283" s="5">
        <f>MAX(0,I283*'Pesos GPS'!D$13+J283*'Pesos GPS'!D$14+K283*'Pesos GPS'!D$15+L283*'Pesos GPS'!D$16+'Pesos GPS'!D$17)</f>
        <v>0</v>
      </c>
      <c r="P283" s="5">
        <f>MAX(0,I283*'Pesos GPS'!E$13+J283*'Pesos GPS'!E$14+K283*'Pesos GPS'!E$15+L283*'Pesos GPS'!E$16+'Pesos GPS'!E$17)</f>
        <v>0</v>
      </c>
      <c r="Q283" s="5">
        <f>MAX(0,I283*'Pesos GPS'!F$13+J283*'Pesos GPS'!F$14+K283*'Pesos GPS'!F$15+L283*'Pesos GPS'!F$16+'Pesos GPS'!F$17)</f>
        <v>0</v>
      </c>
      <c r="R283" s="5">
        <f>MAX(0,I283*'Pesos GPS'!G$13+J283*'Pesos GPS'!G$14+K283*'Pesos GPS'!G$15+L283*'Pesos GPS'!G$16+'Pesos GPS'!G$17)</f>
        <v>0</v>
      </c>
      <c r="S283" s="5">
        <f>MAX(0,I283*'Pesos GPS'!H$13+J283*'Pesos GPS'!H$14+K283*'Pesos GPS'!H$15+L283*'Pesos GPS'!H$16+'Pesos GPS'!H$17)</f>
        <v>0</v>
      </c>
      <c r="T283" s="5">
        <f>MAX(0,I283*'Pesos GPS'!I$13+J283*'Pesos GPS'!I$14+K283*'Pesos GPS'!I$15+L283*'Pesos GPS'!I$16+'Pesos GPS'!I$17)</f>
        <v>0</v>
      </c>
      <c r="U283" s="5">
        <f>M283*'Pesos GPS'!$B$22+N283*'Pesos GPS'!$B$23+O283*'Pesos GPS'!$B$24+P283*'Pesos GPS'!$B$25+Q283*'Pesos GPS'!$B$26+R283*'Pesos GPS'!$B$27+S283*'Pesos GPS'!$B$28+T283*'Pesos GPS'!$B$29+'Pesos GPS'!$B$30</f>
        <v>2.37807146</v>
      </c>
      <c r="V283" s="5">
        <f t="shared" si="1"/>
        <v>0.9151397857</v>
      </c>
      <c r="W283" s="3">
        <f t="shared" si="2"/>
        <v>1</v>
      </c>
      <c r="X283" s="3">
        <f t="shared" si="3"/>
        <v>1</v>
      </c>
      <c r="Y283" s="9">
        <f t="shared" si="4"/>
        <v>0</v>
      </c>
      <c r="Z283" s="9">
        <v>0.9151397857284129</v>
      </c>
      <c r="AA283" s="3" t="str">
        <f t="shared" si="5"/>
        <v>OK</v>
      </c>
    </row>
    <row r="284" ht="15.75" customHeight="1">
      <c r="A284" s="3">
        <v>283.0</v>
      </c>
      <c r="B284" s="3" t="s">
        <v>20</v>
      </c>
      <c r="C284" s="7">
        <v>35.672923</v>
      </c>
      <c r="D284" s="7">
        <v>139.640018</v>
      </c>
      <c r="E284" s="3">
        <v>1.0</v>
      </c>
      <c r="F284" s="3" t="s">
        <v>55</v>
      </c>
      <c r="G284" s="5">
        <f>(C284-'Pesos GPS'!$L$4)/'Pesos GPS'!$L$5</f>
        <v>-1.001526832</v>
      </c>
      <c r="H284" s="5">
        <f>(D284-'Pesos GPS'!$L$6)/'Pesos GPS'!$L$7</f>
        <v>0.9999196235</v>
      </c>
      <c r="I284" s="5">
        <f>MAX(0,G284*'Pesos GPS'!B$6+H284*'Pesos GPS'!B$7+'Pesos GPS'!B$8)</f>
        <v>0</v>
      </c>
      <c r="J284" s="5">
        <f>MAX(0,G284*'Pesos GPS'!C$6+H284*'Pesos GPS'!C$7+'Pesos GPS'!C$8)</f>
        <v>0</v>
      </c>
      <c r="K284" s="5">
        <f>MAX(0,G284*'Pesos GPS'!D$6+H284*'Pesos GPS'!D$7+'Pesos GPS'!D$8)</f>
        <v>0</v>
      </c>
      <c r="L284" s="5">
        <f>MAX(0,G284*'Pesos GPS'!E$6+H284*'Pesos GPS'!E$7+'Pesos GPS'!E$8)</f>
        <v>0</v>
      </c>
      <c r="M284" s="5">
        <f>MAX(0,I284*'Pesos GPS'!B$13+J284*'Pesos GPS'!B$14+K284*'Pesos GPS'!B$15+L284*'Pesos GPS'!B$16+'Pesos GPS'!B$17)</f>
        <v>0</v>
      </c>
      <c r="N284" s="5">
        <f>MAX(0,I284*'Pesos GPS'!C$13+J284*'Pesos GPS'!C$14+K284*'Pesos GPS'!C$15+L284*'Pesos GPS'!C$16+'Pesos GPS'!C$17)</f>
        <v>0</v>
      </c>
      <c r="O284" s="5">
        <f>MAX(0,I284*'Pesos GPS'!D$13+J284*'Pesos GPS'!D$14+K284*'Pesos GPS'!D$15+L284*'Pesos GPS'!D$16+'Pesos GPS'!D$17)</f>
        <v>0</v>
      </c>
      <c r="P284" s="5">
        <f>MAX(0,I284*'Pesos GPS'!E$13+J284*'Pesos GPS'!E$14+K284*'Pesos GPS'!E$15+L284*'Pesos GPS'!E$16+'Pesos GPS'!E$17)</f>
        <v>0</v>
      </c>
      <c r="Q284" s="5">
        <f>MAX(0,I284*'Pesos GPS'!F$13+J284*'Pesos GPS'!F$14+K284*'Pesos GPS'!F$15+L284*'Pesos GPS'!F$16+'Pesos GPS'!F$17)</f>
        <v>0</v>
      </c>
      <c r="R284" s="5">
        <f>MAX(0,I284*'Pesos GPS'!G$13+J284*'Pesos GPS'!G$14+K284*'Pesos GPS'!G$15+L284*'Pesos GPS'!G$16+'Pesos GPS'!G$17)</f>
        <v>0</v>
      </c>
      <c r="S284" s="5">
        <f>MAX(0,I284*'Pesos GPS'!H$13+J284*'Pesos GPS'!H$14+K284*'Pesos GPS'!H$15+L284*'Pesos GPS'!H$16+'Pesos GPS'!H$17)</f>
        <v>0</v>
      </c>
      <c r="T284" s="5">
        <f>MAX(0,I284*'Pesos GPS'!I$13+J284*'Pesos GPS'!I$14+K284*'Pesos GPS'!I$15+L284*'Pesos GPS'!I$16+'Pesos GPS'!I$17)</f>
        <v>0</v>
      </c>
      <c r="U284" s="5">
        <f>M284*'Pesos GPS'!$B$22+N284*'Pesos GPS'!$B$23+O284*'Pesos GPS'!$B$24+P284*'Pesos GPS'!$B$25+Q284*'Pesos GPS'!$B$26+R284*'Pesos GPS'!$B$27+S284*'Pesos GPS'!$B$28+T284*'Pesos GPS'!$B$29+'Pesos GPS'!$B$30</f>
        <v>2.37807146</v>
      </c>
      <c r="V284" s="5">
        <f t="shared" si="1"/>
        <v>0.9151397857</v>
      </c>
      <c r="W284" s="3">
        <f t="shared" si="2"/>
        <v>1</v>
      </c>
      <c r="X284" s="3">
        <f t="shared" si="3"/>
        <v>1</v>
      </c>
      <c r="Y284" s="9">
        <f t="shared" si="4"/>
        <v>0</v>
      </c>
      <c r="Z284" s="9">
        <v>0.9151397857284129</v>
      </c>
      <c r="AA284" s="3" t="str">
        <f t="shared" si="5"/>
        <v>OK</v>
      </c>
    </row>
    <row r="285" ht="15.75" customHeight="1">
      <c r="A285" s="3">
        <v>284.0</v>
      </c>
      <c r="B285" s="3" t="s">
        <v>20</v>
      </c>
      <c r="C285" s="7">
        <v>35.630427</v>
      </c>
      <c r="D285" s="7">
        <v>139.612775</v>
      </c>
      <c r="E285" s="3">
        <v>1.0</v>
      </c>
      <c r="F285" s="3" t="s">
        <v>55</v>
      </c>
      <c r="G285" s="5">
        <f>(C285-'Pesos GPS'!$L$4)/'Pesos GPS'!$L$5</f>
        <v>-1.018406376</v>
      </c>
      <c r="H285" s="5">
        <f>(D285-'Pesos GPS'!$L$6)/'Pesos GPS'!$L$7</f>
        <v>0.9996646054</v>
      </c>
      <c r="I285" s="5">
        <f>MAX(0,G285*'Pesos GPS'!B$6+H285*'Pesos GPS'!B$7+'Pesos GPS'!B$8)</f>
        <v>0</v>
      </c>
      <c r="J285" s="5">
        <f>MAX(0,G285*'Pesos GPS'!C$6+H285*'Pesos GPS'!C$7+'Pesos GPS'!C$8)</f>
        <v>0</v>
      </c>
      <c r="K285" s="5">
        <f>MAX(0,G285*'Pesos GPS'!D$6+H285*'Pesos GPS'!D$7+'Pesos GPS'!D$8)</f>
        <v>0</v>
      </c>
      <c r="L285" s="5">
        <f>MAX(0,G285*'Pesos GPS'!E$6+H285*'Pesos GPS'!E$7+'Pesos GPS'!E$8)</f>
        <v>0</v>
      </c>
      <c r="M285" s="5">
        <f>MAX(0,I285*'Pesos GPS'!B$13+J285*'Pesos GPS'!B$14+K285*'Pesos GPS'!B$15+L285*'Pesos GPS'!B$16+'Pesos GPS'!B$17)</f>
        <v>0</v>
      </c>
      <c r="N285" s="5">
        <f>MAX(0,I285*'Pesos GPS'!C$13+J285*'Pesos GPS'!C$14+K285*'Pesos GPS'!C$15+L285*'Pesos GPS'!C$16+'Pesos GPS'!C$17)</f>
        <v>0</v>
      </c>
      <c r="O285" s="5">
        <f>MAX(0,I285*'Pesos GPS'!D$13+J285*'Pesos GPS'!D$14+K285*'Pesos GPS'!D$15+L285*'Pesos GPS'!D$16+'Pesos GPS'!D$17)</f>
        <v>0</v>
      </c>
      <c r="P285" s="5">
        <f>MAX(0,I285*'Pesos GPS'!E$13+J285*'Pesos GPS'!E$14+K285*'Pesos GPS'!E$15+L285*'Pesos GPS'!E$16+'Pesos GPS'!E$17)</f>
        <v>0</v>
      </c>
      <c r="Q285" s="5">
        <f>MAX(0,I285*'Pesos GPS'!F$13+J285*'Pesos GPS'!F$14+K285*'Pesos GPS'!F$15+L285*'Pesos GPS'!F$16+'Pesos GPS'!F$17)</f>
        <v>0</v>
      </c>
      <c r="R285" s="5">
        <f>MAX(0,I285*'Pesos GPS'!G$13+J285*'Pesos GPS'!G$14+K285*'Pesos GPS'!G$15+L285*'Pesos GPS'!G$16+'Pesos GPS'!G$17)</f>
        <v>0</v>
      </c>
      <c r="S285" s="5">
        <f>MAX(0,I285*'Pesos GPS'!H$13+J285*'Pesos GPS'!H$14+K285*'Pesos GPS'!H$15+L285*'Pesos GPS'!H$16+'Pesos GPS'!H$17)</f>
        <v>0</v>
      </c>
      <c r="T285" s="5">
        <f>MAX(0,I285*'Pesos GPS'!I$13+J285*'Pesos GPS'!I$14+K285*'Pesos GPS'!I$15+L285*'Pesos GPS'!I$16+'Pesos GPS'!I$17)</f>
        <v>0</v>
      </c>
      <c r="U285" s="5">
        <f>M285*'Pesos GPS'!$B$22+N285*'Pesos GPS'!$B$23+O285*'Pesos GPS'!$B$24+P285*'Pesos GPS'!$B$25+Q285*'Pesos GPS'!$B$26+R285*'Pesos GPS'!$B$27+S285*'Pesos GPS'!$B$28+T285*'Pesos GPS'!$B$29+'Pesos GPS'!$B$30</f>
        <v>2.37807146</v>
      </c>
      <c r="V285" s="5">
        <f t="shared" si="1"/>
        <v>0.9151397857</v>
      </c>
      <c r="W285" s="3">
        <f t="shared" si="2"/>
        <v>1</v>
      </c>
      <c r="X285" s="3">
        <f t="shared" si="3"/>
        <v>1</v>
      </c>
      <c r="Y285" s="9">
        <f t="shared" si="4"/>
        <v>0</v>
      </c>
      <c r="Z285" s="9">
        <v>0.9151397857284129</v>
      </c>
      <c r="AA285" s="3" t="str">
        <f t="shared" si="5"/>
        <v>OK</v>
      </c>
    </row>
    <row r="286" ht="15.75" customHeight="1">
      <c r="A286" s="3">
        <v>285.0</v>
      </c>
      <c r="B286" s="3" t="s">
        <v>20</v>
      </c>
      <c r="C286" s="7">
        <v>35.699407</v>
      </c>
      <c r="D286" s="7">
        <v>139.675304</v>
      </c>
      <c r="E286" s="3">
        <v>1.0</v>
      </c>
      <c r="F286" s="3" t="s">
        <v>55</v>
      </c>
      <c r="G286" s="5">
        <f>(C286-'Pesos GPS'!$L$4)/'Pesos GPS'!$L$5</f>
        <v>-0.9910073049</v>
      </c>
      <c r="H286" s="5">
        <f>(D286-'Pesos GPS'!$L$6)/'Pesos GPS'!$L$7</f>
        <v>1.000249931</v>
      </c>
      <c r="I286" s="5">
        <f>MAX(0,G286*'Pesos GPS'!B$6+H286*'Pesos GPS'!B$7+'Pesos GPS'!B$8)</f>
        <v>0</v>
      </c>
      <c r="J286" s="5">
        <f>MAX(0,G286*'Pesos GPS'!C$6+H286*'Pesos GPS'!C$7+'Pesos GPS'!C$8)</f>
        <v>0</v>
      </c>
      <c r="K286" s="5">
        <f>MAX(0,G286*'Pesos GPS'!D$6+H286*'Pesos GPS'!D$7+'Pesos GPS'!D$8)</f>
        <v>0</v>
      </c>
      <c r="L286" s="5">
        <f>MAX(0,G286*'Pesos GPS'!E$6+H286*'Pesos GPS'!E$7+'Pesos GPS'!E$8)</f>
        <v>0</v>
      </c>
      <c r="M286" s="5">
        <f>MAX(0,I286*'Pesos GPS'!B$13+J286*'Pesos GPS'!B$14+K286*'Pesos GPS'!B$15+L286*'Pesos GPS'!B$16+'Pesos GPS'!B$17)</f>
        <v>0</v>
      </c>
      <c r="N286" s="5">
        <f>MAX(0,I286*'Pesos GPS'!C$13+J286*'Pesos GPS'!C$14+K286*'Pesos GPS'!C$15+L286*'Pesos GPS'!C$16+'Pesos GPS'!C$17)</f>
        <v>0</v>
      </c>
      <c r="O286" s="5">
        <f>MAX(0,I286*'Pesos GPS'!D$13+J286*'Pesos GPS'!D$14+K286*'Pesos GPS'!D$15+L286*'Pesos GPS'!D$16+'Pesos GPS'!D$17)</f>
        <v>0</v>
      </c>
      <c r="P286" s="5">
        <f>MAX(0,I286*'Pesos GPS'!E$13+J286*'Pesos GPS'!E$14+K286*'Pesos GPS'!E$15+L286*'Pesos GPS'!E$16+'Pesos GPS'!E$17)</f>
        <v>0</v>
      </c>
      <c r="Q286" s="5">
        <f>MAX(0,I286*'Pesos GPS'!F$13+J286*'Pesos GPS'!F$14+K286*'Pesos GPS'!F$15+L286*'Pesos GPS'!F$16+'Pesos GPS'!F$17)</f>
        <v>0</v>
      </c>
      <c r="R286" s="5">
        <f>MAX(0,I286*'Pesos GPS'!G$13+J286*'Pesos GPS'!G$14+K286*'Pesos GPS'!G$15+L286*'Pesos GPS'!G$16+'Pesos GPS'!G$17)</f>
        <v>0</v>
      </c>
      <c r="S286" s="5">
        <f>MAX(0,I286*'Pesos GPS'!H$13+J286*'Pesos GPS'!H$14+K286*'Pesos GPS'!H$15+L286*'Pesos GPS'!H$16+'Pesos GPS'!H$17)</f>
        <v>0</v>
      </c>
      <c r="T286" s="5">
        <f>MAX(0,I286*'Pesos GPS'!I$13+J286*'Pesos GPS'!I$14+K286*'Pesos GPS'!I$15+L286*'Pesos GPS'!I$16+'Pesos GPS'!I$17)</f>
        <v>0</v>
      </c>
      <c r="U286" s="5">
        <f>M286*'Pesos GPS'!$B$22+N286*'Pesos GPS'!$B$23+O286*'Pesos GPS'!$B$24+P286*'Pesos GPS'!$B$25+Q286*'Pesos GPS'!$B$26+R286*'Pesos GPS'!$B$27+S286*'Pesos GPS'!$B$28+T286*'Pesos GPS'!$B$29+'Pesos GPS'!$B$30</f>
        <v>2.37807146</v>
      </c>
      <c r="V286" s="5">
        <f t="shared" si="1"/>
        <v>0.9151397857</v>
      </c>
      <c r="W286" s="3">
        <f t="shared" si="2"/>
        <v>1</v>
      </c>
      <c r="X286" s="3">
        <f t="shared" si="3"/>
        <v>1</v>
      </c>
      <c r="Y286" s="9">
        <f t="shared" si="4"/>
        <v>0</v>
      </c>
      <c r="Z286" s="9">
        <v>0.9151397857284129</v>
      </c>
      <c r="AA286" s="3" t="str">
        <f t="shared" si="5"/>
        <v>OK</v>
      </c>
    </row>
    <row r="287" ht="15.75" customHeight="1">
      <c r="A287" s="3">
        <v>286.0</v>
      </c>
      <c r="B287" s="3" t="s">
        <v>20</v>
      </c>
      <c r="C287" s="7">
        <v>35.661075</v>
      </c>
      <c r="D287" s="7">
        <v>139.720205</v>
      </c>
      <c r="E287" s="3">
        <v>1.0</v>
      </c>
      <c r="F287" s="3" t="s">
        <v>55</v>
      </c>
      <c r="G287" s="5">
        <f>(C287-'Pesos GPS'!$L$4)/'Pesos GPS'!$L$5</f>
        <v>-1.006232895</v>
      </c>
      <c r="H287" s="5">
        <f>(D287-'Pesos GPS'!$L$6)/'Pesos GPS'!$L$7</f>
        <v>1.000670243</v>
      </c>
      <c r="I287" s="5">
        <f>MAX(0,G287*'Pesos GPS'!B$6+H287*'Pesos GPS'!B$7+'Pesos GPS'!B$8)</f>
        <v>0</v>
      </c>
      <c r="J287" s="5">
        <f>MAX(0,G287*'Pesos GPS'!C$6+H287*'Pesos GPS'!C$7+'Pesos GPS'!C$8)</f>
        <v>0</v>
      </c>
      <c r="K287" s="5">
        <f>MAX(0,G287*'Pesos GPS'!D$6+H287*'Pesos GPS'!D$7+'Pesos GPS'!D$8)</f>
        <v>0</v>
      </c>
      <c r="L287" s="5">
        <f>MAX(0,G287*'Pesos GPS'!E$6+H287*'Pesos GPS'!E$7+'Pesos GPS'!E$8)</f>
        <v>0</v>
      </c>
      <c r="M287" s="5">
        <f>MAX(0,I287*'Pesos GPS'!B$13+J287*'Pesos GPS'!B$14+K287*'Pesos GPS'!B$15+L287*'Pesos GPS'!B$16+'Pesos GPS'!B$17)</f>
        <v>0</v>
      </c>
      <c r="N287" s="5">
        <f>MAX(0,I287*'Pesos GPS'!C$13+J287*'Pesos GPS'!C$14+K287*'Pesos GPS'!C$15+L287*'Pesos GPS'!C$16+'Pesos GPS'!C$17)</f>
        <v>0</v>
      </c>
      <c r="O287" s="5">
        <f>MAX(0,I287*'Pesos GPS'!D$13+J287*'Pesos GPS'!D$14+K287*'Pesos GPS'!D$15+L287*'Pesos GPS'!D$16+'Pesos GPS'!D$17)</f>
        <v>0</v>
      </c>
      <c r="P287" s="5">
        <f>MAX(0,I287*'Pesos GPS'!E$13+J287*'Pesos GPS'!E$14+K287*'Pesos GPS'!E$15+L287*'Pesos GPS'!E$16+'Pesos GPS'!E$17)</f>
        <v>0</v>
      </c>
      <c r="Q287" s="5">
        <f>MAX(0,I287*'Pesos GPS'!F$13+J287*'Pesos GPS'!F$14+K287*'Pesos GPS'!F$15+L287*'Pesos GPS'!F$16+'Pesos GPS'!F$17)</f>
        <v>0</v>
      </c>
      <c r="R287" s="5">
        <f>MAX(0,I287*'Pesos GPS'!G$13+J287*'Pesos GPS'!G$14+K287*'Pesos GPS'!G$15+L287*'Pesos GPS'!G$16+'Pesos GPS'!G$17)</f>
        <v>0</v>
      </c>
      <c r="S287" s="5">
        <f>MAX(0,I287*'Pesos GPS'!H$13+J287*'Pesos GPS'!H$14+K287*'Pesos GPS'!H$15+L287*'Pesos GPS'!H$16+'Pesos GPS'!H$17)</f>
        <v>0</v>
      </c>
      <c r="T287" s="5">
        <f>MAX(0,I287*'Pesos GPS'!I$13+J287*'Pesos GPS'!I$14+K287*'Pesos GPS'!I$15+L287*'Pesos GPS'!I$16+'Pesos GPS'!I$17)</f>
        <v>0</v>
      </c>
      <c r="U287" s="5">
        <f>M287*'Pesos GPS'!$B$22+N287*'Pesos GPS'!$B$23+O287*'Pesos GPS'!$B$24+P287*'Pesos GPS'!$B$25+Q287*'Pesos GPS'!$B$26+R287*'Pesos GPS'!$B$27+S287*'Pesos GPS'!$B$28+T287*'Pesos GPS'!$B$29+'Pesos GPS'!$B$30</f>
        <v>2.37807146</v>
      </c>
      <c r="V287" s="5">
        <f t="shared" si="1"/>
        <v>0.9151397857</v>
      </c>
      <c r="W287" s="3">
        <f t="shared" si="2"/>
        <v>1</v>
      </c>
      <c r="X287" s="3">
        <f t="shared" si="3"/>
        <v>1</v>
      </c>
      <c r="Y287" s="9">
        <f t="shared" si="4"/>
        <v>0</v>
      </c>
      <c r="Z287" s="9">
        <v>0.9151397857284129</v>
      </c>
      <c r="AA287" s="3" t="str">
        <f t="shared" si="5"/>
        <v>OK</v>
      </c>
    </row>
    <row r="288" ht="15.75" customHeight="1">
      <c r="A288" s="3">
        <v>287.0</v>
      </c>
      <c r="B288" s="3" t="s">
        <v>20</v>
      </c>
      <c r="C288" s="7">
        <v>35.662852</v>
      </c>
      <c r="D288" s="7">
        <v>139.609118</v>
      </c>
      <c r="E288" s="3">
        <v>1.0</v>
      </c>
      <c r="F288" s="3" t="s">
        <v>55</v>
      </c>
      <c r="G288" s="5">
        <f>(C288-'Pesos GPS'!$L$4)/'Pesos GPS'!$L$5</f>
        <v>-1.005527065</v>
      </c>
      <c r="H288" s="5">
        <f>(D288-'Pesos GPS'!$L$6)/'Pesos GPS'!$L$7</f>
        <v>0.9996303727</v>
      </c>
      <c r="I288" s="5">
        <f>MAX(0,G288*'Pesos GPS'!B$6+H288*'Pesos GPS'!B$7+'Pesos GPS'!B$8)</f>
        <v>0</v>
      </c>
      <c r="J288" s="5">
        <f>MAX(0,G288*'Pesos GPS'!C$6+H288*'Pesos GPS'!C$7+'Pesos GPS'!C$8)</f>
        <v>0</v>
      </c>
      <c r="K288" s="5">
        <f>MAX(0,G288*'Pesos GPS'!D$6+H288*'Pesos GPS'!D$7+'Pesos GPS'!D$8)</f>
        <v>0</v>
      </c>
      <c r="L288" s="5">
        <f>MAX(0,G288*'Pesos GPS'!E$6+H288*'Pesos GPS'!E$7+'Pesos GPS'!E$8)</f>
        <v>0</v>
      </c>
      <c r="M288" s="5">
        <f>MAX(0,I288*'Pesos GPS'!B$13+J288*'Pesos GPS'!B$14+K288*'Pesos GPS'!B$15+L288*'Pesos GPS'!B$16+'Pesos GPS'!B$17)</f>
        <v>0</v>
      </c>
      <c r="N288" s="5">
        <f>MAX(0,I288*'Pesos GPS'!C$13+J288*'Pesos GPS'!C$14+K288*'Pesos GPS'!C$15+L288*'Pesos GPS'!C$16+'Pesos GPS'!C$17)</f>
        <v>0</v>
      </c>
      <c r="O288" s="5">
        <f>MAX(0,I288*'Pesos GPS'!D$13+J288*'Pesos GPS'!D$14+K288*'Pesos GPS'!D$15+L288*'Pesos GPS'!D$16+'Pesos GPS'!D$17)</f>
        <v>0</v>
      </c>
      <c r="P288" s="5">
        <f>MAX(0,I288*'Pesos GPS'!E$13+J288*'Pesos GPS'!E$14+K288*'Pesos GPS'!E$15+L288*'Pesos GPS'!E$16+'Pesos GPS'!E$17)</f>
        <v>0</v>
      </c>
      <c r="Q288" s="5">
        <f>MAX(0,I288*'Pesos GPS'!F$13+J288*'Pesos GPS'!F$14+K288*'Pesos GPS'!F$15+L288*'Pesos GPS'!F$16+'Pesos GPS'!F$17)</f>
        <v>0</v>
      </c>
      <c r="R288" s="5">
        <f>MAX(0,I288*'Pesos GPS'!G$13+J288*'Pesos GPS'!G$14+K288*'Pesos GPS'!G$15+L288*'Pesos GPS'!G$16+'Pesos GPS'!G$17)</f>
        <v>0</v>
      </c>
      <c r="S288" s="5">
        <f>MAX(0,I288*'Pesos GPS'!H$13+J288*'Pesos GPS'!H$14+K288*'Pesos GPS'!H$15+L288*'Pesos GPS'!H$16+'Pesos GPS'!H$17)</f>
        <v>0</v>
      </c>
      <c r="T288" s="5">
        <f>MAX(0,I288*'Pesos GPS'!I$13+J288*'Pesos GPS'!I$14+K288*'Pesos GPS'!I$15+L288*'Pesos GPS'!I$16+'Pesos GPS'!I$17)</f>
        <v>0</v>
      </c>
      <c r="U288" s="5">
        <f>M288*'Pesos GPS'!$B$22+N288*'Pesos GPS'!$B$23+O288*'Pesos GPS'!$B$24+P288*'Pesos GPS'!$B$25+Q288*'Pesos GPS'!$B$26+R288*'Pesos GPS'!$B$27+S288*'Pesos GPS'!$B$28+T288*'Pesos GPS'!$B$29+'Pesos GPS'!$B$30</f>
        <v>2.37807146</v>
      </c>
      <c r="V288" s="5">
        <f t="shared" si="1"/>
        <v>0.9151397857</v>
      </c>
      <c r="W288" s="3">
        <f t="shared" si="2"/>
        <v>1</v>
      </c>
      <c r="X288" s="3">
        <f t="shared" si="3"/>
        <v>1</v>
      </c>
      <c r="Y288" s="9">
        <f t="shared" si="4"/>
        <v>0</v>
      </c>
      <c r="Z288" s="9">
        <v>0.9151397857284129</v>
      </c>
      <c r="AA288" s="3" t="str">
        <f t="shared" si="5"/>
        <v>OK</v>
      </c>
    </row>
    <row r="289" ht="15.75" customHeight="1">
      <c r="A289" s="3">
        <v>288.0</v>
      </c>
      <c r="B289" s="3" t="s">
        <v>20</v>
      </c>
      <c r="C289" s="7">
        <v>35.649456</v>
      </c>
      <c r="D289" s="7">
        <v>139.620989</v>
      </c>
      <c r="E289" s="3">
        <v>1.0</v>
      </c>
      <c r="F289" s="3" t="s">
        <v>55</v>
      </c>
      <c r="G289" s="5">
        <f>(C289-'Pesos GPS'!$L$4)/'Pesos GPS'!$L$5</f>
        <v>-1.010847998</v>
      </c>
      <c r="H289" s="5">
        <f>(D289-'Pesos GPS'!$L$6)/'Pesos GPS'!$L$7</f>
        <v>0.9997414956</v>
      </c>
      <c r="I289" s="5">
        <f>MAX(0,G289*'Pesos GPS'!B$6+H289*'Pesos GPS'!B$7+'Pesos GPS'!B$8)</f>
        <v>0</v>
      </c>
      <c r="J289" s="5">
        <f>MAX(0,G289*'Pesos GPS'!C$6+H289*'Pesos GPS'!C$7+'Pesos GPS'!C$8)</f>
        <v>0</v>
      </c>
      <c r="K289" s="5">
        <f>MAX(0,G289*'Pesos GPS'!D$6+H289*'Pesos GPS'!D$7+'Pesos GPS'!D$8)</f>
        <v>0</v>
      </c>
      <c r="L289" s="5">
        <f>MAX(0,G289*'Pesos GPS'!E$6+H289*'Pesos GPS'!E$7+'Pesos GPS'!E$8)</f>
        <v>0</v>
      </c>
      <c r="M289" s="5">
        <f>MAX(0,I289*'Pesos GPS'!B$13+J289*'Pesos GPS'!B$14+K289*'Pesos GPS'!B$15+L289*'Pesos GPS'!B$16+'Pesos GPS'!B$17)</f>
        <v>0</v>
      </c>
      <c r="N289" s="5">
        <f>MAX(0,I289*'Pesos GPS'!C$13+J289*'Pesos GPS'!C$14+K289*'Pesos GPS'!C$15+L289*'Pesos GPS'!C$16+'Pesos GPS'!C$17)</f>
        <v>0</v>
      </c>
      <c r="O289" s="5">
        <f>MAX(0,I289*'Pesos GPS'!D$13+J289*'Pesos GPS'!D$14+K289*'Pesos GPS'!D$15+L289*'Pesos GPS'!D$16+'Pesos GPS'!D$17)</f>
        <v>0</v>
      </c>
      <c r="P289" s="5">
        <f>MAX(0,I289*'Pesos GPS'!E$13+J289*'Pesos GPS'!E$14+K289*'Pesos GPS'!E$15+L289*'Pesos GPS'!E$16+'Pesos GPS'!E$17)</f>
        <v>0</v>
      </c>
      <c r="Q289" s="5">
        <f>MAX(0,I289*'Pesos GPS'!F$13+J289*'Pesos GPS'!F$14+K289*'Pesos GPS'!F$15+L289*'Pesos GPS'!F$16+'Pesos GPS'!F$17)</f>
        <v>0</v>
      </c>
      <c r="R289" s="5">
        <f>MAX(0,I289*'Pesos GPS'!G$13+J289*'Pesos GPS'!G$14+K289*'Pesos GPS'!G$15+L289*'Pesos GPS'!G$16+'Pesos GPS'!G$17)</f>
        <v>0</v>
      </c>
      <c r="S289" s="5">
        <f>MAX(0,I289*'Pesos GPS'!H$13+J289*'Pesos GPS'!H$14+K289*'Pesos GPS'!H$15+L289*'Pesos GPS'!H$16+'Pesos GPS'!H$17)</f>
        <v>0</v>
      </c>
      <c r="T289" s="5">
        <f>MAX(0,I289*'Pesos GPS'!I$13+J289*'Pesos GPS'!I$14+K289*'Pesos GPS'!I$15+L289*'Pesos GPS'!I$16+'Pesos GPS'!I$17)</f>
        <v>0</v>
      </c>
      <c r="U289" s="5">
        <f>M289*'Pesos GPS'!$B$22+N289*'Pesos GPS'!$B$23+O289*'Pesos GPS'!$B$24+P289*'Pesos GPS'!$B$25+Q289*'Pesos GPS'!$B$26+R289*'Pesos GPS'!$B$27+S289*'Pesos GPS'!$B$28+T289*'Pesos GPS'!$B$29+'Pesos GPS'!$B$30</f>
        <v>2.37807146</v>
      </c>
      <c r="V289" s="5">
        <f t="shared" si="1"/>
        <v>0.9151397857</v>
      </c>
      <c r="W289" s="3">
        <f t="shared" si="2"/>
        <v>1</v>
      </c>
      <c r="X289" s="3">
        <f t="shared" si="3"/>
        <v>1</v>
      </c>
      <c r="Y289" s="9">
        <f t="shared" si="4"/>
        <v>0</v>
      </c>
      <c r="Z289" s="9">
        <v>0.9151397857284129</v>
      </c>
      <c r="AA289" s="3" t="str">
        <f t="shared" si="5"/>
        <v>OK</v>
      </c>
    </row>
    <row r="290" ht="15.75" customHeight="1">
      <c r="A290" s="3">
        <v>289.0</v>
      </c>
      <c r="B290" s="3" t="s">
        <v>20</v>
      </c>
      <c r="C290" s="7">
        <v>35.659843</v>
      </c>
      <c r="D290" s="7">
        <v>139.658541</v>
      </c>
      <c r="E290" s="3">
        <v>1.0</v>
      </c>
      <c r="F290" s="3" t="s">
        <v>55</v>
      </c>
      <c r="G290" s="5">
        <f>(C290-'Pesos GPS'!$L$4)/'Pesos GPS'!$L$5</f>
        <v>-1.006722249</v>
      </c>
      <c r="H290" s="5">
        <f>(D290-'Pesos GPS'!$L$6)/'Pesos GPS'!$L$7</f>
        <v>1.000093015</v>
      </c>
      <c r="I290" s="5">
        <f>MAX(0,G290*'Pesos GPS'!B$6+H290*'Pesos GPS'!B$7+'Pesos GPS'!B$8)</f>
        <v>0</v>
      </c>
      <c r="J290" s="5">
        <f>MAX(0,G290*'Pesos GPS'!C$6+H290*'Pesos GPS'!C$7+'Pesos GPS'!C$8)</f>
        <v>0</v>
      </c>
      <c r="K290" s="5">
        <f>MAX(0,G290*'Pesos GPS'!D$6+H290*'Pesos GPS'!D$7+'Pesos GPS'!D$8)</f>
        <v>0</v>
      </c>
      <c r="L290" s="5">
        <f>MAX(0,G290*'Pesos GPS'!E$6+H290*'Pesos GPS'!E$7+'Pesos GPS'!E$8)</f>
        <v>0</v>
      </c>
      <c r="M290" s="5">
        <f>MAX(0,I290*'Pesos GPS'!B$13+J290*'Pesos GPS'!B$14+K290*'Pesos GPS'!B$15+L290*'Pesos GPS'!B$16+'Pesos GPS'!B$17)</f>
        <v>0</v>
      </c>
      <c r="N290" s="5">
        <f>MAX(0,I290*'Pesos GPS'!C$13+J290*'Pesos GPS'!C$14+K290*'Pesos GPS'!C$15+L290*'Pesos GPS'!C$16+'Pesos GPS'!C$17)</f>
        <v>0</v>
      </c>
      <c r="O290" s="5">
        <f>MAX(0,I290*'Pesos GPS'!D$13+J290*'Pesos GPS'!D$14+K290*'Pesos GPS'!D$15+L290*'Pesos GPS'!D$16+'Pesos GPS'!D$17)</f>
        <v>0</v>
      </c>
      <c r="P290" s="5">
        <f>MAX(0,I290*'Pesos GPS'!E$13+J290*'Pesos GPS'!E$14+K290*'Pesos GPS'!E$15+L290*'Pesos GPS'!E$16+'Pesos GPS'!E$17)</f>
        <v>0</v>
      </c>
      <c r="Q290" s="5">
        <f>MAX(0,I290*'Pesos GPS'!F$13+J290*'Pesos GPS'!F$14+K290*'Pesos GPS'!F$15+L290*'Pesos GPS'!F$16+'Pesos GPS'!F$17)</f>
        <v>0</v>
      </c>
      <c r="R290" s="5">
        <f>MAX(0,I290*'Pesos GPS'!G$13+J290*'Pesos GPS'!G$14+K290*'Pesos GPS'!G$15+L290*'Pesos GPS'!G$16+'Pesos GPS'!G$17)</f>
        <v>0</v>
      </c>
      <c r="S290" s="5">
        <f>MAX(0,I290*'Pesos GPS'!H$13+J290*'Pesos GPS'!H$14+K290*'Pesos GPS'!H$15+L290*'Pesos GPS'!H$16+'Pesos GPS'!H$17)</f>
        <v>0</v>
      </c>
      <c r="T290" s="5">
        <f>MAX(0,I290*'Pesos GPS'!I$13+J290*'Pesos GPS'!I$14+K290*'Pesos GPS'!I$15+L290*'Pesos GPS'!I$16+'Pesos GPS'!I$17)</f>
        <v>0</v>
      </c>
      <c r="U290" s="5">
        <f>M290*'Pesos GPS'!$B$22+N290*'Pesos GPS'!$B$23+O290*'Pesos GPS'!$B$24+P290*'Pesos GPS'!$B$25+Q290*'Pesos GPS'!$B$26+R290*'Pesos GPS'!$B$27+S290*'Pesos GPS'!$B$28+T290*'Pesos GPS'!$B$29+'Pesos GPS'!$B$30</f>
        <v>2.37807146</v>
      </c>
      <c r="V290" s="5">
        <f t="shared" si="1"/>
        <v>0.9151397857</v>
      </c>
      <c r="W290" s="3">
        <f t="shared" si="2"/>
        <v>1</v>
      </c>
      <c r="X290" s="3">
        <f t="shared" si="3"/>
        <v>1</v>
      </c>
      <c r="Y290" s="9">
        <f t="shared" si="4"/>
        <v>0</v>
      </c>
      <c r="Z290" s="9">
        <v>0.9151397857284129</v>
      </c>
      <c r="AA290" s="3" t="str">
        <f t="shared" si="5"/>
        <v>OK</v>
      </c>
    </row>
    <row r="291" ht="15.75" customHeight="1">
      <c r="A291" s="3">
        <v>290.0</v>
      </c>
      <c r="B291" s="3" t="s">
        <v>20</v>
      </c>
      <c r="C291" s="7">
        <v>35.686897</v>
      </c>
      <c r="D291" s="7">
        <v>139.706689</v>
      </c>
      <c r="E291" s="3">
        <v>1.0</v>
      </c>
      <c r="F291" s="3" t="s">
        <v>55</v>
      </c>
      <c r="G291" s="5">
        <f>(C291-'Pesos GPS'!$L$4)/'Pesos GPS'!$L$5</f>
        <v>-0.9959763158</v>
      </c>
      <c r="H291" s="5">
        <f>(D291-'Pesos GPS'!$L$6)/'Pesos GPS'!$L$7</f>
        <v>1.000543722</v>
      </c>
      <c r="I291" s="5">
        <f>MAX(0,G291*'Pesos GPS'!B$6+H291*'Pesos GPS'!B$7+'Pesos GPS'!B$8)</f>
        <v>0</v>
      </c>
      <c r="J291" s="5">
        <f>MAX(0,G291*'Pesos GPS'!C$6+H291*'Pesos GPS'!C$7+'Pesos GPS'!C$8)</f>
        <v>0</v>
      </c>
      <c r="K291" s="5">
        <f>MAX(0,G291*'Pesos GPS'!D$6+H291*'Pesos GPS'!D$7+'Pesos GPS'!D$8)</f>
        <v>0</v>
      </c>
      <c r="L291" s="5">
        <f>MAX(0,G291*'Pesos GPS'!E$6+H291*'Pesos GPS'!E$7+'Pesos GPS'!E$8)</f>
        <v>0</v>
      </c>
      <c r="M291" s="5">
        <f>MAX(0,I291*'Pesos GPS'!B$13+J291*'Pesos GPS'!B$14+K291*'Pesos GPS'!B$15+L291*'Pesos GPS'!B$16+'Pesos GPS'!B$17)</f>
        <v>0</v>
      </c>
      <c r="N291" s="5">
        <f>MAX(0,I291*'Pesos GPS'!C$13+J291*'Pesos GPS'!C$14+K291*'Pesos GPS'!C$15+L291*'Pesos GPS'!C$16+'Pesos GPS'!C$17)</f>
        <v>0</v>
      </c>
      <c r="O291" s="5">
        <f>MAX(0,I291*'Pesos GPS'!D$13+J291*'Pesos GPS'!D$14+K291*'Pesos GPS'!D$15+L291*'Pesos GPS'!D$16+'Pesos GPS'!D$17)</f>
        <v>0</v>
      </c>
      <c r="P291" s="5">
        <f>MAX(0,I291*'Pesos GPS'!E$13+J291*'Pesos GPS'!E$14+K291*'Pesos GPS'!E$15+L291*'Pesos GPS'!E$16+'Pesos GPS'!E$17)</f>
        <v>0</v>
      </c>
      <c r="Q291" s="5">
        <f>MAX(0,I291*'Pesos GPS'!F$13+J291*'Pesos GPS'!F$14+K291*'Pesos GPS'!F$15+L291*'Pesos GPS'!F$16+'Pesos GPS'!F$17)</f>
        <v>0</v>
      </c>
      <c r="R291" s="5">
        <f>MAX(0,I291*'Pesos GPS'!G$13+J291*'Pesos GPS'!G$14+K291*'Pesos GPS'!G$15+L291*'Pesos GPS'!G$16+'Pesos GPS'!G$17)</f>
        <v>0</v>
      </c>
      <c r="S291" s="5">
        <f>MAX(0,I291*'Pesos GPS'!H$13+J291*'Pesos GPS'!H$14+K291*'Pesos GPS'!H$15+L291*'Pesos GPS'!H$16+'Pesos GPS'!H$17)</f>
        <v>0</v>
      </c>
      <c r="T291" s="5">
        <f>MAX(0,I291*'Pesos GPS'!I$13+J291*'Pesos GPS'!I$14+K291*'Pesos GPS'!I$15+L291*'Pesos GPS'!I$16+'Pesos GPS'!I$17)</f>
        <v>0</v>
      </c>
      <c r="U291" s="5">
        <f>M291*'Pesos GPS'!$B$22+N291*'Pesos GPS'!$B$23+O291*'Pesos GPS'!$B$24+P291*'Pesos GPS'!$B$25+Q291*'Pesos GPS'!$B$26+R291*'Pesos GPS'!$B$27+S291*'Pesos GPS'!$B$28+T291*'Pesos GPS'!$B$29+'Pesos GPS'!$B$30</f>
        <v>2.37807146</v>
      </c>
      <c r="V291" s="5">
        <f t="shared" si="1"/>
        <v>0.9151397857</v>
      </c>
      <c r="W291" s="3">
        <f t="shared" si="2"/>
        <v>1</v>
      </c>
      <c r="X291" s="3">
        <f t="shared" si="3"/>
        <v>1</v>
      </c>
      <c r="Y291" s="9">
        <f t="shared" si="4"/>
        <v>0</v>
      </c>
      <c r="Z291" s="9">
        <v>0.9151397857284129</v>
      </c>
      <c r="AA291" s="3" t="str">
        <f t="shared" si="5"/>
        <v>OK</v>
      </c>
    </row>
    <row r="292" ht="15.75" customHeight="1">
      <c r="A292" s="3">
        <v>291.0</v>
      </c>
      <c r="B292" s="3" t="s">
        <v>20</v>
      </c>
      <c r="C292" s="7">
        <v>35.671469</v>
      </c>
      <c r="D292" s="7">
        <v>139.607517</v>
      </c>
      <c r="E292" s="3">
        <v>1.0</v>
      </c>
      <c r="F292" s="3" t="s">
        <v>55</v>
      </c>
      <c r="G292" s="5">
        <f>(C292-'Pesos GPS'!$L$4)/'Pesos GPS'!$L$5</f>
        <v>-1.002104365</v>
      </c>
      <c r="H292" s="5">
        <f>(D292-'Pesos GPS'!$L$6)/'Pesos GPS'!$L$7</f>
        <v>0.9996153859</v>
      </c>
      <c r="I292" s="5">
        <f>MAX(0,G292*'Pesos GPS'!B$6+H292*'Pesos GPS'!B$7+'Pesos GPS'!B$8)</f>
        <v>0</v>
      </c>
      <c r="J292" s="5">
        <f>MAX(0,G292*'Pesos GPS'!C$6+H292*'Pesos GPS'!C$7+'Pesos GPS'!C$8)</f>
        <v>0</v>
      </c>
      <c r="K292" s="5">
        <f>MAX(0,G292*'Pesos GPS'!D$6+H292*'Pesos GPS'!D$7+'Pesos GPS'!D$8)</f>
        <v>0</v>
      </c>
      <c r="L292" s="5">
        <f>MAX(0,G292*'Pesos GPS'!E$6+H292*'Pesos GPS'!E$7+'Pesos GPS'!E$8)</f>
        <v>0</v>
      </c>
      <c r="M292" s="5">
        <f>MAX(0,I292*'Pesos GPS'!B$13+J292*'Pesos GPS'!B$14+K292*'Pesos GPS'!B$15+L292*'Pesos GPS'!B$16+'Pesos GPS'!B$17)</f>
        <v>0</v>
      </c>
      <c r="N292" s="5">
        <f>MAX(0,I292*'Pesos GPS'!C$13+J292*'Pesos GPS'!C$14+K292*'Pesos GPS'!C$15+L292*'Pesos GPS'!C$16+'Pesos GPS'!C$17)</f>
        <v>0</v>
      </c>
      <c r="O292" s="5">
        <f>MAX(0,I292*'Pesos GPS'!D$13+J292*'Pesos GPS'!D$14+K292*'Pesos GPS'!D$15+L292*'Pesos GPS'!D$16+'Pesos GPS'!D$17)</f>
        <v>0</v>
      </c>
      <c r="P292" s="5">
        <f>MAX(0,I292*'Pesos GPS'!E$13+J292*'Pesos GPS'!E$14+K292*'Pesos GPS'!E$15+L292*'Pesos GPS'!E$16+'Pesos GPS'!E$17)</f>
        <v>0</v>
      </c>
      <c r="Q292" s="5">
        <f>MAX(0,I292*'Pesos GPS'!F$13+J292*'Pesos GPS'!F$14+K292*'Pesos GPS'!F$15+L292*'Pesos GPS'!F$16+'Pesos GPS'!F$17)</f>
        <v>0</v>
      </c>
      <c r="R292" s="5">
        <f>MAX(0,I292*'Pesos GPS'!G$13+J292*'Pesos GPS'!G$14+K292*'Pesos GPS'!G$15+L292*'Pesos GPS'!G$16+'Pesos GPS'!G$17)</f>
        <v>0</v>
      </c>
      <c r="S292" s="5">
        <f>MAX(0,I292*'Pesos GPS'!H$13+J292*'Pesos GPS'!H$14+K292*'Pesos GPS'!H$15+L292*'Pesos GPS'!H$16+'Pesos GPS'!H$17)</f>
        <v>0</v>
      </c>
      <c r="T292" s="5">
        <f>MAX(0,I292*'Pesos GPS'!I$13+J292*'Pesos GPS'!I$14+K292*'Pesos GPS'!I$15+L292*'Pesos GPS'!I$16+'Pesos GPS'!I$17)</f>
        <v>0</v>
      </c>
      <c r="U292" s="5">
        <f>M292*'Pesos GPS'!$B$22+N292*'Pesos GPS'!$B$23+O292*'Pesos GPS'!$B$24+P292*'Pesos GPS'!$B$25+Q292*'Pesos GPS'!$B$26+R292*'Pesos GPS'!$B$27+S292*'Pesos GPS'!$B$28+T292*'Pesos GPS'!$B$29+'Pesos GPS'!$B$30</f>
        <v>2.37807146</v>
      </c>
      <c r="V292" s="5">
        <f t="shared" si="1"/>
        <v>0.9151397857</v>
      </c>
      <c r="W292" s="3">
        <f t="shared" si="2"/>
        <v>1</v>
      </c>
      <c r="X292" s="3">
        <f t="shared" si="3"/>
        <v>1</v>
      </c>
      <c r="Y292" s="9">
        <f t="shared" si="4"/>
        <v>0</v>
      </c>
      <c r="Z292" s="9">
        <v>0.9151397857284129</v>
      </c>
      <c r="AA292" s="3" t="str">
        <f t="shared" si="5"/>
        <v>OK</v>
      </c>
    </row>
    <row r="293" ht="15.75" customHeight="1">
      <c r="A293" s="3">
        <v>292.0</v>
      </c>
      <c r="B293" s="3" t="s">
        <v>20</v>
      </c>
      <c r="C293" s="7">
        <v>35.684417</v>
      </c>
      <c r="D293" s="7">
        <v>139.659016</v>
      </c>
      <c r="E293" s="3">
        <v>1.0</v>
      </c>
      <c r="F293" s="3" t="s">
        <v>55</v>
      </c>
      <c r="G293" s="5">
        <f>(C293-'Pesos GPS'!$L$4)/'Pesos GPS'!$L$5</f>
        <v>-0.9969613796</v>
      </c>
      <c r="H293" s="5">
        <f>(D293-'Pesos GPS'!$L$6)/'Pesos GPS'!$L$7</f>
        <v>1.000097461</v>
      </c>
      <c r="I293" s="5">
        <f>MAX(0,G293*'Pesos GPS'!B$6+H293*'Pesos GPS'!B$7+'Pesos GPS'!B$8)</f>
        <v>0</v>
      </c>
      <c r="J293" s="5">
        <f>MAX(0,G293*'Pesos GPS'!C$6+H293*'Pesos GPS'!C$7+'Pesos GPS'!C$8)</f>
        <v>0</v>
      </c>
      <c r="K293" s="5">
        <f>MAX(0,G293*'Pesos GPS'!D$6+H293*'Pesos GPS'!D$7+'Pesos GPS'!D$8)</f>
        <v>0</v>
      </c>
      <c r="L293" s="5">
        <f>MAX(0,G293*'Pesos GPS'!E$6+H293*'Pesos GPS'!E$7+'Pesos GPS'!E$8)</f>
        <v>0</v>
      </c>
      <c r="M293" s="5">
        <f>MAX(0,I293*'Pesos GPS'!B$13+J293*'Pesos GPS'!B$14+K293*'Pesos GPS'!B$15+L293*'Pesos GPS'!B$16+'Pesos GPS'!B$17)</f>
        <v>0</v>
      </c>
      <c r="N293" s="5">
        <f>MAX(0,I293*'Pesos GPS'!C$13+J293*'Pesos GPS'!C$14+K293*'Pesos GPS'!C$15+L293*'Pesos GPS'!C$16+'Pesos GPS'!C$17)</f>
        <v>0</v>
      </c>
      <c r="O293" s="5">
        <f>MAX(0,I293*'Pesos GPS'!D$13+J293*'Pesos GPS'!D$14+K293*'Pesos GPS'!D$15+L293*'Pesos GPS'!D$16+'Pesos GPS'!D$17)</f>
        <v>0</v>
      </c>
      <c r="P293" s="5">
        <f>MAX(0,I293*'Pesos GPS'!E$13+J293*'Pesos GPS'!E$14+K293*'Pesos GPS'!E$15+L293*'Pesos GPS'!E$16+'Pesos GPS'!E$17)</f>
        <v>0</v>
      </c>
      <c r="Q293" s="5">
        <f>MAX(0,I293*'Pesos GPS'!F$13+J293*'Pesos GPS'!F$14+K293*'Pesos GPS'!F$15+L293*'Pesos GPS'!F$16+'Pesos GPS'!F$17)</f>
        <v>0</v>
      </c>
      <c r="R293" s="5">
        <f>MAX(0,I293*'Pesos GPS'!G$13+J293*'Pesos GPS'!G$14+K293*'Pesos GPS'!G$15+L293*'Pesos GPS'!G$16+'Pesos GPS'!G$17)</f>
        <v>0</v>
      </c>
      <c r="S293" s="5">
        <f>MAX(0,I293*'Pesos GPS'!H$13+J293*'Pesos GPS'!H$14+K293*'Pesos GPS'!H$15+L293*'Pesos GPS'!H$16+'Pesos GPS'!H$17)</f>
        <v>0</v>
      </c>
      <c r="T293" s="5">
        <f>MAX(0,I293*'Pesos GPS'!I$13+J293*'Pesos GPS'!I$14+K293*'Pesos GPS'!I$15+L293*'Pesos GPS'!I$16+'Pesos GPS'!I$17)</f>
        <v>0</v>
      </c>
      <c r="U293" s="5">
        <f>M293*'Pesos GPS'!$B$22+N293*'Pesos GPS'!$B$23+O293*'Pesos GPS'!$B$24+P293*'Pesos GPS'!$B$25+Q293*'Pesos GPS'!$B$26+R293*'Pesos GPS'!$B$27+S293*'Pesos GPS'!$B$28+T293*'Pesos GPS'!$B$29+'Pesos GPS'!$B$30</f>
        <v>2.37807146</v>
      </c>
      <c r="V293" s="5">
        <f t="shared" si="1"/>
        <v>0.9151397857</v>
      </c>
      <c r="W293" s="3">
        <f t="shared" si="2"/>
        <v>1</v>
      </c>
      <c r="X293" s="3">
        <f t="shared" si="3"/>
        <v>1</v>
      </c>
      <c r="Y293" s="9">
        <f t="shared" si="4"/>
        <v>0</v>
      </c>
      <c r="Z293" s="9">
        <v>0.9151397857284129</v>
      </c>
      <c r="AA293" s="3" t="str">
        <f t="shared" si="5"/>
        <v>OK</v>
      </c>
    </row>
    <row r="294" ht="15.75" customHeight="1">
      <c r="A294" s="3">
        <v>293.0</v>
      </c>
      <c r="B294" s="3" t="s">
        <v>20</v>
      </c>
      <c r="C294" s="7">
        <v>35.685248</v>
      </c>
      <c r="D294" s="7">
        <v>139.714045</v>
      </c>
      <c r="E294" s="3">
        <v>1.0</v>
      </c>
      <c r="F294" s="3" t="s">
        <v>55</v>
      </c>
      <c r="G294" s="5">
        <f>(C294-'Pesos GPS'!$L$4)/'Pesos GPS'!$L$5</f>
        <v>-0.9966313038</v>
      </c>
      <c r="H294" s="5">
        <f>(D294-'Pesos GPS'!$L$6)/'Pesos GPS'!$L$7</f>
        <v>1.00061258</v>
      </c>
      <c r="I294" s="5">
        <f>MAX(0,G294*'Pesos GPS'!B$6+H294*'Pesos GPS'!B$7+'Pesos GPS'!B$8)</f>
        <v>0</v>
      </c>
      <c r="J294" s="5">
        <f>MAX(0,G294*'Pesos GPS'!C$6+H294*'Pesos GPS'!C$7+'Pesos GPS'!C$8)</f>
        <v>0</v>
      </c>
      <c r="K294" s="5">
        <f>MAX(0,G294*'Pesos GPS'!D$6+H294*'Pesos GPS'!D$7+'Pesos GPS'!D$8)</f>
        <v>0</v>
      </c>
      <c r="L294" s="5">
        <f>MAX(0,G294*'Pesos GPS'!E$6+H294*'Pesos GPS'!E$7+'Pesos GPS'!E$8)</f>
        <v>0</v>
      </c>
      <c r="M294" s="5">
        <f>MAX(0,I294*'Pesos GPS'!B$13+J294*'Pesos GPS'!B$14+K294*'Pesos GPS'!B$15+L294*'Pesos GPS'!B$16+'Pesos GPS'!B$17)</f>
        <v>0</v>
      </c>
      <c r="N294" s="5">
        <f>MAX(0,I294*'Pesos GPS'!C$13+J294*'Pesos GPS'!C$14+K294*'Pesos GPS'!C$15+L294*'Pesos GPS'!C$16+'Pesos GPS'!C$17)</f>
        <v>0</v>
      </c>
      <c r="O294" s="5">
        <f>MAX(0,I294*'Pesos GPS'!D$13+J294*'Pesos GPS'!D$14+K294*'Pesos GPS'!D$15+L294*'Pesos GPS'!D$16+'Pesos GPS'!D$17)</f>
        <v>0</v>
      </c>
      <c r="P294" s="5">
        <f>MAX(0,I294*'Pesos GPS'!E$13+J294*'Pesos GPS'!E$14+K294*'Pesos GPS'!E$15+L294*'Pesos GPS'!E$16+'Pesos GPS'!E$17)</f>
        <v>0</v>
      </c>
      <c r="Q294" s="5">
        <f>MAX(0,I294*'Pesos GPS'!F$13+J294*'Pesos GPS'!F$14+K294*'Pesos GPS'!F$15+L294*'Pesos GPS'!F$16+'Pesos GPS'!F$17)</f>
        <v>0</v>
      </c>
      <c r="R294" s="5">
        <f>MAX(0,I294*'Pesos GPS'!G$13+J294*'Pesos GPS'!G$14+K294*'Pesos GPS'!G$15+L294*'Pesos GPS'!G$16+'Pesos GPS'!G$17)</f>
        <v>0</v>
      </c>
      <c r="S294" s="5">
        <f>MAX(0,I294*'Pesos GPS'!H$13+J294*'Pesos GPS'!H$14+K294*'Pesos GPS'!H$15+L294*'Pesos GPS'!H$16+'Pesos GPS'!H$17)</f>
        <v>0</v>
      </c>
      <c r="T294" s="5">
        <f>MAX(0,I294*'Pesos GPS'!I$13+J294*'Pesos GPS'!I$14+K294*'Pesos GPS'!I$15+L294*'Pesos GPS'!I$16+'Pesos GPS'!I$17)</f>
        <v>0</v>
      </c>
      <c r="U294" s="5">
        <f>M294*'Pesos GPS'!$B$22+N294*'Pesos GPS'!$B$23+O294*'Pesos GPS'!$B$24+P294*'Pesos GPS'!$B$25+Q294*'Pesos GPS'!$B$26+R294*'Pesos GPS'!$B$27+S294*'Pesos GPS'!$B$28+T294*'Pesos GPS'!$B$29+'Pesos GPS'!$B$30</f>
        <v>2.37807146</v>
      </c>
      <c r="V294" s="5">
        <f t="shared" si="1"/>
        <v>0.9151397857</v>
      </c>
      <c r="W294" s="3">
        <f t="shared" si="2"/>
        <v>1</v>
      </c>
      <c r="X294" s="3">
        <f t="shared" si="3"/>
        <v>1</v>
      </c>
      <c r="Y294" s="9">
        <f t="shared" si="4"/>
        <v>0</v>
      </c>
      <c r="Z294" s="9">
        <v>0.9151397857284129</v>
      </c>
      <c r="AA294" s="3" t="str">
        <f t="shared" si="5"/>
        <v>OK</v>
      </c>
    </row>
    <row r="295" ht="15.75" customHeight="1">
      <c r="A295" s="3">
        <v>294.0</v>
      </c>
      <c r="B295" s="3" t="s">
        <v>20</v>
      </c>
      <c r="C295" s="7">
        <v>35.709217</v>
      </c>
      <c r="D295" s="7">
        <v>139.592488</v>
      </c>
      <c r="E295" s="3">
        <v>1.0</v>
      </c>
      <c r="F295" s="3" t="s">
        <v>55</v>
      </c>
      <c r="G295" s="5">
        <f>(C295-'Pesos GPS'!$L$4)/'Pesos GPS'!$L$5</f>
        <v>-0.9871107424</v>
      </c>
      <c r="H295" s="5">
        <f>(D295-'Pesos GPS'!$L$6)/'Pesos GPS'!$L$7</f>
        <v>0.9994747014</v>
      </c>
      <c r="I295" s="5">
        <f>MAX(0,G295*'Pesos GPS'!B$6+H295*'Pesos GPS'!B$7+'Pesos GPS'!B$8)</f>
        <v>0</v>
      </c>
      <c r="J295" s="5">
        <f>MAX(0,G295*'Pesos GPS'!C$6+H295*'Pesos GPS'!C$7+'Pesos GPS'!C$8)</f>
        <v>0</v>
      </c>
      <c r="K295" s="5">
        <f>MAX(0,G295*'Pesos GPS'!D$6+H295*'Pesos GPS'!D$7+'Pesos GPS'!D$8)</f>
        <v>0</v>
      </c>
      <c r="L295" s="5">
        <f>MAX(0,G295*'Pesos GPS'!E$6+H295*'Pesos GPS'!E$7+'Pesos GPS'!E$8)</f>
        <v>0</v>
      </c>
      <c r="M295" s="5">
        <f>MAX(0,I295*'Pesos GPS'!B$13+J295*'Pesos GPS'!B$14+K295*'Pesos GPS'!B$15+L295*'Pesos GPS'!B$16+'Pesos GPS'!B$17)</f>
        <v>0</v>
      </c>
      <c r="N295" s="5">
        <f>MAX(0,I295*'Pesos GPS'!C$13+J295*'Pesos GPS'!C$14+K295*'Pesos GPS'!C$15+L295*'Pesos GPS'!C$16+'Pesos GPS'!C$17)</f>
        <v>0</v>
      </c>
      <c r="O295" s="5">
        <f>MAX(0,I295*'Pesos GPS'!D$13+J295*'Pesos GPS'!D$14+K295*'Pesos GPS'!D$15+L295*'Pesos GPS'!D$16+'Pesos GPS'!D$17)</f>
        <v>0</v>
      </c>
      <c r="P295" s="5">
        <f>MAX(0,I295*'Pesos GPS'!E$13+J295*'Pesos GPS'!E$14+K295*'Pesos GPS'!E$15+L295*'Pesos GPS'!E$16+'Pesos GPS'!E$17)</f>
        <v>0</v>
      </c>
      <c r="Q295" s="5">
        <f>MAX(0,I295*'Pesos GPS'!F$13+J295*'Pesos GPS'!F$14+K295*'Pesos GPS'!F$15+L295*'Pesos GPS'!F$16+'Pesos GPS'!F$17)</f>
        <v>0</v>
      </c>
      <c r="R295" s="5">
        <f>MAX(0,I295*'Pesos GPS'!G$13+J295*'Pesos GPS'!G$14+K295*'Pesos GPS'!G$15+L295*'Pesos GPS'!G$16+'Pesos GPS'!G$17)</f>
        <v>0</v>
      </c>
      <c r="S295" s="5">
        <f>MAX(0,I295*'Pesos GPS'!H$13+J295*'Pesos GPS'!H$14+K295*'Pesos GPS'!H$15+L295*'Pesos GPS'!H$16+'Pesos GPS'!H$17)</f>
        <v>0</v>
      </c>
      <c r="T295" s="5">
        <f>MAX(0,I295*'Pesos GPS'!I$13+J295*'Pesos GPS'!I$14+K295*'Pesos GPS'!I$15+L295*'Pesos GPS'!I$16+'Pesos GPS'!I$17)</f>
        <v>0</v>
      </c>
      <c r="U295" s="5">
        <f>M295*'Pesos GPS'!$B$22+N295*'Pesos GPS'!$B$23+O295*'Pesos GPS'!$B$24+P295*'Pesos GPS'!$B$25+Q295*'Pesos GPS'!$B$26+R295*'Pesos GPS'!$B$27+S295*'Pesos GPS'!$B$28+T295*'Pesos GPS'!$B$29+'Pesos GPS'!$B$30</f>
        <v>2.37807146</v>
      </c>
      <c r="V295" s="5">
        <f t="shared" si="1"/>
        <v>0.9151397857</v>
      </c>
      <c r="W295" s="3">
        <f t="shared" si="2"/>
        <v>1</v>
      </c>
      <c r="X295" s="3">
        <f t="shared" si="3"/>
        <v>1</v>
      </c>
      <c r="Y295" s="9">
        <f t="shared" si="4"/>
        <v>0</v>
      </c>
      <c r="Z295" s="9">
        <v>0.9151397857284129</v>
      </c>
      <c r="AA295" s="3" t="str">
        <f t="shared" si="5"/>
        <v>OK</v>
      </c>
    </row>
    <row r="296" ht="15.75" customHeight="1">
      <c r="A296" s="3">
        <v>295.0</v>
      </c>
      <c r="B296" s="3" t="s">
        <v>20</v>
      </c>
      <c r="C296" s="7">
        <v>35.66763</v>
      </c>
      <c r="D296" s="7">
        <v>139.605463</v>
      </c>
      <c r="E296" s="3">
        <v>1.0</v>
      </c>
      <c r="F296" s="3" t="s">
        <v>55</v>
      </c>
      <c r="G296" s="5">
        <f>(C296-'Pesos GPS'!$L$4)/'Pesos GPS'!$L$5</f>
        <v>-1.003629228</v>
      </c>
      <c r="H296" s="5">
        <f>(D296-'Pesos GPS'!$L$6)/'Pesos GPS'!$L$7</f>
        <v>0.9995961587</v>
      </c>
      <c r="I296" s="5">
        <f>MAX(0,G296*'Pesos GPS'!B$6+H296*'Pesos GPS'!B$7+'Pesos GPS'!B$8)</f>
        <v>0</v>
      </c>
      <c r="J296" s="5">
        <f>MAX(0,G296*'Pesos GPS'!C$6+H296*'Pesos GPS'!C$7+'Pesos GPS'!C$8)</f>
        <v>0</v>
      </c>
      <c r="K296" s="5">
        <f>MAX(0,G296*'Pesos GPS'!D$6+H296*'Pesos GPS'!D$7+'Pesos GPS'!D$8)</f>
        <v>0</v>
      </c>
      <c r="L296" s="5">
        <f>MAX(0,G296*'Pesos GPS'!E$6+H296*'Pesos GPS'!E$7+'Pesos GPS'!E$8)</f>
        <v>0</v>
      </c>
      <c r="M296" s="5">
        <f>MAX(0,I296*'Pesos GPS'!B$13+J296*'Pesos GPS'!B$14+K296*'Pesos GPS'!B$15+L296*'Pesos GPS'!B$16+'Pesos GPS'!B$17)</f>
        <v>0</v>
      </c>
      <c r="N296" s="5">
        <f>MAX(0,I296*'Pesos GPS'!C$13+J296*'Pesos GPS'!C$14+K296*'Pesos GPS'!C$15+L296*'Pesos GPS'!C$16+'Pesos GPS'!C$17)</f>
        <v>0</v>
      </c>
      <c r="O296" s="5">
        <f>MAX(0,I296*'Pesos GPS'!D$13+J296*'Pesos GPS'!D$14+K296*'Pesos GPS'!D$15+L296*'Pesos GPS'!D$16+'Pesos GPS'!D$17)</f>
        <v>0</v>
      </c>
      <c r="P296" s="5">
        <f>MAX(0,I296*'Pesos GPS'!E$13+J296*'Pesos GPS'!E$14+K296*'Pesos GPS'!E$15+L296*'Pesos GPS'!E$16+'Pesos GPS'!E$17)</f>
        <v>0</v>
      </c>
      <c r="Q296" s="5">
        <f>MAX(0,I296*'Pesos GPS'!F$13+J296*'Pesos GPS'!F$14+K296*'Pesos GPS'!F$15+L296*'Pesos GPS'!F$16+'Pesos GPS'!F$17)</f>
        <v>0</v>
      </c>
      <c r="R296" s="5">
        <f>MAX(0,I296*'Pesos GPS'!G$13+J296*'Pesos GPS'!G$14+K296*'Pesos GPS'!G$15+L296*'Pesos GPS'!G$16+'Pesos GPS'!G$17)</f>
        <v>0</v>
      </c>
      <c r="S296" s="5">
        <f>MAX(0,I296*'Pesos GPS'!H$13+J296*'Pesos GPS'!H$14+K296*'Pesos GPS'!H$15+L296*'Pesos GPS'!H$16+'Pesos GPS'!H$17)</f>
        <v>0</v>
      </c>
      <c r="T296" s="5">
        <f>MAX(0,I296*'Pesos GPS'!I$13+J296*'Pesos GPS'!I$14+K296*'Pesos GPS'!I$15+L296*'Pesos GPS'!I$16+'Pesos GPS'!I$17)</f>
        <v>0</v>
      </c>
      <c r="U296" s="5">
        <f>M296*'Pesos GPS'!$B$22+N296*'Pesos GPS'!$B$23+O296*'Pesos GPS'!$B$24+P296*'Pesos GPS'!$B$25+Q296*'Pesos GPS'!$B$26+R296*'Pesos GPS'!$B$27+S296*'Pesos GPS'!$B$28+T296*'Pesos GPS'!$B$29+'Pesos GPS'!$B$30</f>
        <v>2.37807146</v>
      </c>
      <c r="V296" s="5">
        <f t="shared" si="1"/>
        <v>0.9151397857</v>
      </c>
      <c r="W296" s="3">
        <f t="shared" si="2"/>
        <v>1</v>
      </c>
      <c r="X296" s="3">
        <f t="shared" si="3"/>
        <v>1</v>
      </c>
      <c r="Y296" s="9">
        <f t="shared" si="4"/>
        <v>0</v>
      </c>
      <c r="Z296" s="9">
        <v>0.9151397857284129</v>
      </c>
      <c r="AA296" s="3" t="str">
        <f t="shared" si="5"/>
        <v>OK</v>
      </c>
    </row>
    <row r="297" ht="15.75" customHeight="1">
      <c r="A297" s="3">
        <v>296.0</v>
      </c>
      <c r="B297" s="3" t="s">
        <v>20</v>
      </c>
      <c r="C297" s="7">
        <v>35.639279</v>
      </c>
      <c r="D297" s="7">
        <v>139.635474</v>
      </c>
      <c r="E297" s="3">
        <v>1.0</v>
      </c>
      <c r="F297" s="3" t="s">
        <v>55</v>
      </c>
      <c r="G297" s="5">
        <f>(C297-'Pesos GPS'!$L$4)/'Pesos GPS'!$L$5</f>
        <v>-1.014890334</v>
      </c>
      <c r="H297" s="5">
        <f>(D297-'Pesos GPS'!$L$6)/'Pesos GPS'!$L$7</f>
        <v>0.9998770877</v>
      </c>
      <c r="I297" s="5">
        <f>MAX(0,G297*'Pesos GPS'!B$6+H297*'Pesos GPS'!B$7+'Pesos GPS'!B$8)</f>
        <v>0</v>
      </c>
      <c r="J297" s="5">
        <f>MAX(0,G297*'Pesos GPS'!C$6+H297*'Pesos GPS'!C$7+'Pesos GPS'!C$8)</f>
        <v>0</v>
      </c>
      <c r="K297" s="5">
        <f>MAX(0,G297*'Pesos GPS'!D$6+H297*'Pesos GPS'!D$7+'Pesos GPS'!D$8)</f>
        <v>0</v>
      </c>
      <c r="L297" s="5">
        <f>MAX(0,G297*'Pesos GPS'!E$6+H297*'Pesos GPS'!E$7+'Pesos GPS'!E$8)</f>
        <v>0</v>
      </c>
      <c r="M297" s="5">
        <f>MAX(0,I297*'Pesos GPS'!B$13+J297*'Pesos GPS'!B$14+K297*'Pesos GPS'!B$15+L297*'Pesos GPS'!B$16+'Pesos GPS'!B$17)</f>
        <v>0</v>
      </c>
      <c r="N297" s="5">
        <f>MAX(0,I297*'Pesos GPS'!C$13+J297*'Pesos GPS'!C$14+K297*'Pesos GPS'!C$15+L297*'Pesos GPS'!C$16+'Pesos GPS'!C$17)</f>
        <v>0</v>
      </c>
      <c r="O297" s="5">
        <f>MAX(0,I297*'Pesos GPS'!D$13+J297*'Pesos GPS'!D$14+K297*'Pesos GPS'!D$15+L297*'Pesos GPS'!D$16+'Pesos GPS'!D$17)</f>
        <v>0</v>
      </c>
      <c r="P297" s="5">
        <f>MAX(0,I297*'Pesos GPS'!E$13+J297*'Pesos GPS'!E$14+K297*'Pesos GPS'!E$15+L297*'Pesos GPS'!E$16+'Pesos GPS'!E$17)</f>
        <v>0</v>
      </c>
      <c r="Q297" s="5">
        <f>MAX(0,I297*'Pesos GPS'!F$13+J297*'Pesos GPS'!F$14+K297*'Pesos GPS'!F$15+L297*'Pesos GPS'!F$16+'Pesos GPS'!F$17)</f>
        <v>0</v>
      </c>
      <c r="R297" s="5">
        <f>MAX(0,I297*'Pesos GPS'!G$13+J297*'Pesos GPS'!G$14+K297*'Pesos GPS'!G$15+L297*'Pesos GPS'!G$16+'Pesos GPS'!G$17)</f>
        <v>0</v>
      </c>
      <c r="S297" s="5">
        <f>MAX(0,I297*'Pesos GPS'!H$13+J297*'Pesos GPS'!H$14+K297*'Pesos GPS'!H$15+L297*'Pesos GPS'!H$16+'Pesos GPS'!H$17)</f>
        <v>0</v>
      </c>
      <c r="T297" s="5">
        <f>MAX(0,I297*'Pesos GPS'!I$13+J297*'Pesos GPS'!I$14+K297*'Pesos GPS'!I$15+L297*'Pesos GPS'!I$16+'Pesos GPS'!I$17)</f>
        <v>0</v>
      </c>
      <c r="U297" s="5">
        <f>M297*'Pesos GPS'!$B$22+N297*'Pesos GPS'!$B$23+O297*'Pesos GPS'!$B$24+P297*'Pesos GPS'!$B$25+Q297*'Pesos GPS'!$B$26+R297*'Pesos GPS'!$B$27+S297*'Pesos GPS'!$B$28+T297*'Pesos GPS'!$B$29+'Pesos GPS'!$B$30</f>
        <v>2.37807146</v>
      </c>
      <c r="V297" s="5">
        <f t="shared" si="1"/>
        <v>0.9151397857</v>
      </c>
      <c r="W297" s="3">
        <f t="shared" si="2"/>
        <v>1</v>
      </c>
      <c r="X297" s="3">
        <f t="shared" si="3"/>
        <v>1</v>
      </c>
      <c r="Y297" s="9">
        <f t="shared" si="4"/>
        <v>0</v>
      </c>
      <c r="Z297" s="9">
        <v>0.9151397857284129</v>
      </c>
      <c r="AA297" s="3" t="str">
        <f t="shared" si="5"/>
        <v>OK</v>
      </c>
    </row>
    <row r="298" ht="15.75" customHeight="1">
      <c r="A298" s="3">
        <v>297.0</v>
      </c>
      <c r="B298" s="3" t="s">
        <v>20</v>
      </c>
      <c r="C298" s="7">
        <v>35.702881</v>
      </c>
      <c r="D298" s="7">
        <v>139.632079</v>
      </c>
      <c r="E298" s="3">
        <v>1.0</v>
      </c>
      <c r="F298" s="3" t="s">
        <v>55</v>
      </c>
      <c r="G298" s="5">
        <f>(C298-'Pesos GPS'!$L$4)/'Pesos GPS'!$L$5</f>
        <v>-0.9896274213</v>
      </c>
      <c r="H298" s="5">
        <f>(D298-'Pesos GPS'!$L$6)/'Pesos GPS'!$L$7</f>
        <v>0.9998453076</v>
      </c>
      <c r="I298" s="5">
        <f>MAX(0,G298*'Pesos GPS'!B$6+H298*'Pesos GPS'!B$7+'Pesos GPS'!B$8)</f>
        <v>0</v>
      </c>
      <c r="J298" s="5">
        <f>MAX(0,G298*'Pesos GPS'!C$6+H298*'Pesos GPS'!C$7+'Pesos GPS'!C$8)</f>
        <v>0</v>
      </c>
      <c r="K298" s="5">
        <f>MAX(0,G298*'Pesos GPS'!D$6+H298*'Pesos GPS'!D$7+'Pesos GPS'!D$8)</f>
        <v>0</v>
      </c>
      <c r="L298" s="5">
        <f>MAX(0,G298*'Pesos GPS'!E$6+H298*'Pesos GPS'!E$7+'Pesos GPS'!E$8)</f>
        <v>0</v>
      </c>
      <c r="M298" s="5">
        <f>MAX(0,I298*'Pesos GPS'!B$13+J298*'Pesos GPS'!B$14+K298*'Pesos GPS'!B$15+L298*'Pesos GPS'!B$16+'Pesos GPS'!B$17)</f>
        <v>0</v>
      </c>
      <c r="N298" s="5">
        <f>MAX(0,I298*'Pesos GPS'!C$13+J298*'Pesos GPS'!C$14+K298*'Pesos GPS'!C$15+L298*'Pesos GPS'!C$16+'Pesos GPS'!C$17)</f>
        <v>0</v>
      </c>
      <c r="O298" s="5">
        <f>MAX(0,I298*'Pesos GPS'!D$13+J298*'Pesos GPS'!D$14+K298*'Pesos GPS'!D$15+L298*'Pesos GPS'!D$16+'Pesos GPS'!D$17)</f>
        <v>0</v>
      </c>
      <c r="P298" s="5">
        <f>MAX(0,I298*'Pesos GPS'!E$13+J298*'Pesos GPS'!E$14+K298*'Pesos GPS'!E$15+L298*'Pesos GPS'!E$16+'Pesos GPS'!E$17)</f>
        <v>0</v>
      </c>
      <c r="Q298" s="5">
        <f>MAX(0,I298*'Pesos GPS'!F$13+J298*'Pesos GPS'!F$14+K298*'Pesos GPS'!F$15+L298*'Pesos GPS'!F$16+'Pesos GPS'!F$17)</f>
        <v>0</v>
      </c>
      <c r="R298" s="5">
        <f>MAX(0,I298*'Pesos GPS'!G$13+J298*'Pesos GPS'!G$14+K298*'Pesos GPS'!G$15+L298*'Pesos GPS'!G$16+'Pesos GPS'!G$17)</f>
        <v>0</v>
      </c>
      <c r="S298" s="5">
        <f>MAX(0,I298*'Pesos GPS'!H$13+J298*'Pesos GPS'!H$14+K298*'Pesos GPS'!H$15+L298*'Pesos GPS'!H$16+'Pesos GPS'!H$17)</f>
        <v>0</v>
      </c>
      <c r="T298" s="5">
        <f>MAX(0,I298*'Pesos GPS'!I$13+J298*'Pesos GPS'!I$14+K298*'Pesos GPS'!I$15+L298*'Pesos GPS'!I$16+'Pesos GPS'!I$17)</f>
        <v>0</v>
      </c>
      <c r="U298" s="5">
        <f>M298*'Pesos GPS'!$B$22+N298*'Pesos GPS'!$B$23+O298*'Pesos GPS'!$B$24+P298*'Pesos GPS'!$B$25+Q298*'Pesos GPS'!$B$26+R298*'Pesos GPS'!$B$27+S298*'Pesos GPS'!$B$28+T298*'Pesos GPS'!$B$29+'Pesos GPS'!$B$30</f>
        <v>2.37807146</v>
      </c>
      <c r="V298" s="5">
        <f t="shared" si="1"/>
        <v>0.9151397857</v>
      </c>
      <c r="W298" s="3">
        <f t="shared" si="2"/>
        <v>1</v>
      </c>
      <c r="X298" s="3">
        <f t="shared" si="3"/>
        <v>1</v>
      </c>
      <c r="Y298" s="9">
        <f t="shared" si="4"/>
        <v>0</v>
      </c>
      <c r="Z298" s="9">
        <v>0.9151397857284129</v>
      </c>
      <c r="AA298" s="3" t="str">
        <f t="shared" si="5"/>
        <v>OK</v>
      </c>
    </row>
    <row r="299" ht="15.75" customHeight="1">
      <c r="A299" s="3">
        <v>298.0</v>
      </c>
      <c r="B299" s="3" t="s">
        <v>20</v>
      </c>
      <c r="C299" s="7">
        <v>35.667913</v>
      </c>
      <c r="D299" s="7">
        <v>139.678741</v>
      </c>
      <c r="E299" s="3">
        <v>1.0</v>
      </c>
      <c r="F299" s="3" t="s">
        <v>55</v>
      </c>
      <c r="G299" s="5">
        <f>(C299-'Pesos GPS'!$L$4)/'Pesos GPS'!$L$5</f>
        <v>-1.00351682</v>
      </c>
      <c r="H299" s="5">
        <f>(D299-'Pesos GPS'!$L$6)/'Pesos GPS'!$L$7</f>
        <v>1.000282104</v>
      </c>
      <c r="I299" s="5">
        <f>MAX(0,G299*'Pesos GPS'!B$6+H299*'Pesos GPS'!B$7+'Pesos GPS'!B$8)</f>
        <v>0</v>
      </c>
      <c r="J299" s="5">
        <f>MAX(0,G299*'Pesos GPS'!C$6+H299*'Pesos GPS'!C$7+'Pesos GPS'!C$8)</f>
        <v>0</v>
      </c>
      <c r="K299" s="5">
        <f>MAX(0,G299*'Pesos GPS'!D$6+H299*'Pesos GPS'!D$7+'Pesos GPS'!D$8)</f>
        <v>0</v>
      </c>
      <c r="L299" s="5">
        <f>MAX(0,G299*'Pesos GPS'!E$6+H299*'Pesos GPS'!E$7+'Pesos GPS'!E$8)</f>
        <v>0</v>
      </c>
      <c r="M299" s="5">
        <f>MAX(0,I299*'Pesos GPS'!B$13+J299*'Pesos GPS'!B$14+K299*'Pesos GPS'!B$15+L299*'Pesos GPS'!B$16+'Pesos GPS'!B$17)</f>
        <v>0</v>
      </c>
      <c r="N299" s="5">
        <f>MAX(0,I299*'Pesos GPS'!C$13+J299*'Pesos GPS'!C$14+K299*'Pesos GPS'!C$15+L299*'Pesos GPS'!C$16+'Pesos GPS'!C$17)</f>
        <v>0</v>
      </c>
      <c r="O299" s="5">
        <f>MAX(0,I299*'Pesos GPS'!D$13+J299*'Pesos GPS'!D$14+K299*'Pesos GPS'!D$15+L299*'Pesos GPS'!D$16+'Pesos GPS'!D$17)</f>
        <v>0</v>
      </c>
      <c r="P299" s="5">
        <f>MAX(0,I299*'Pesos GPS'!E$13+J299*'Pesos GPS'!E$14+K299*'Pesos GPS'!E$15+L299*'Pesos GPS'!E$16+'Pesos GPS'!E$17)</f>
        <v>0</v>
      </c>
      <c r="Q299" s="5">
        <f>MAX(0,I299*'Pesos GPS'!F$13+J299*'Pesos GPS'!F$14+K299*'Pesos GPS'!F$15+L299*'Pesos GPS'!F$16+'Pesos GPS'!F$17)</f>
        <v>0</v>
      </c>
      <c r="R299" s="5">
        <f>MAX(0,I299*'Pesos GPS'!G$13+J299*'Pesos GPS'!G$14+K299*'Pesos GPS'!G$15+L299*'Pesos GPS'!G$16+'Pesos GPS'!G$17)</f>
        <v>0</v>
      </c>
      <c r="S299" s="5">
        <f>MAX(0,I299*'Pesos GPS'!H$13+J299*'Pesos GPS'!H$14+K299*'Pesos GPS'!H$15+L299*'Pesos GPS'!H$16+'Pesos GPS'!H$17)</f>
        <v>0</v>
      </c>
      <c r="T299" s="5">
        <f>MAX(0,I299*'Pesos GPS'!I$13+J299*'Pesos GPS'!I$14+K299*'Pesos GPS'!I$15+L299*'Pesos GPS'!I$16+'Pesos GPS'!I$17)</f>
        <v>0</v>
      </c>
      <c r="U299" s="5">
        <f>M299*'Pesos GPS'!$B$22+N299*'Pesos GPS'!$B$23+O299*'Pesos GPS'!$B$24+P299*'Pesos GPS'!$B$25+Q299*'Pesos GPS'!$B$26+R299*'Pesos GPS'!$B$27+S299*'Pesos GPS'!$B$28+T299*'Pesos GPS'!$B$29+'Pesos GPS'!$B$30</f>
        <v>2.37807146</v>
      </c>
      <c r="V299" s="5">
        <f t="shared" si="1"/>
        <v>0.9151397857</v>
      </c>
      <c r="W299" s="3">
        <f t="shared" si="2"/>
        <v>1</v>
      </c>
      <c r="X299" s="3">
        <f t="shared" si="3"/>
        <v>1</v>
      </c>
      <c r="Y299" s="9">
        <f t="shared" si="4"/>
        <v>0</v>
      </c>
      <c r="Z299" s="9">
        <v>0.9151397857284129</v>
      </c>
      <c r="AA299" s="3" t="str">
        <f t="shared" si="5"/>
        <v>OK</v>
      </c>
    </row>
    <row r="300" ht="15.75" customHeight="1">
      <c r="A300" s="3">
        <v>299.0</v>
      </c>
      <c r="B300" s="3" t="s">
        <v>20</v>
      </c>
      <c r="C300" s="7">
        <v>35.704065</v>
      </c>
      <c r="D300" s="7">
        <v>139.658758</v>
      </c>
      <c r="E300" s="3">
        <v>1.0</v>
      </c>
      <c r="F300" s="3" t="s">
        <v>55</v>
      </c>
      <c r="G300" s="5">
        <f>(C300-'Pesos GPS'!$L$4)/'Pesos GPS'!$L$5</f>
        <v>-0.9891571328</v>
      </c>
      <c r="H300" s="5">
        <f>(D300-'Pesos GPS'!$L$6)/'Pesos GPS'!$L$7</f>
        <v>1.000095046</v>
      </c>
      <c r="I300" s="5">
        <f>MAX(0,G300*'Pesos GPS'!B$6+H300*'Pesos GPS'!B$7+'Pesos GPS'!B$8)</f>
        <v>0</v>
      </c>
      <c r="J300" s="5">
        <f>MAX(0,G300*'Pesos GPS'!C$6+H300*'Pesos GPS'!C$7+'Pesos GPS'!C$8)</f>
        <v>0</v>
      </c>
      <c r="K300" s="5">
        <f>MAX(0,G300*'Pesos GPS'!D$6+H300*'Pesos GPS'!D$7+'Pesos GPS'!D$8)</f>
        <v>0</v>
      </c>
      <c r="L300" s="5">
        <f>MAX(0,G300*'Pesos GPS'!E$6+H300*'Pesos GPS'!E$7+'Pesos GPS'!E$8)</f>
        <v>0</v>
      </c>
      <c r="M300" s="5">
        <f>MAX(0,I300*'Pesos GPS'!B$13+J300*'Pesos GPS'!B$14+K300*'Pesos GPS'!B$15+L300*'Pesos GPS'!B$16+'Pesos GPS'!B$17)</f>
        <v>0</v>
      </c>
      <c r="N300" s="5">
        <f>MAX(0,I300*'Pesos GPS'!C$13+J300*'Pesos GPS'!C$14+K300*'Pesos GPS'!C$15+L300*'Pesos GPS'!C$16+'Pesos GPS'!C$17)</f>
        <v>0</v>
      </c>
      <c r="O300" s="5">
        <f>MAX(0,I300*'Pesos GPS'!D$13+J300*'Pesos GPS'!D$14+K300*'Pesos GPS'!D$15+L300*'Pesos GPS'!D$16+'Pesos GPS'!D$17)</f>
        <v>0</v>
      </c>
      <c r="P300" s="5">
        <f>MAX(0,I300*'Pesos GPS'!E$13+J300*'Pesos GPS'!E$14+K300*'Pesos GPS'!E$15+L300*'Pesos GPS'!E$16+'Pesos GPS'!E$17)</f>
        <v>0</v>
      </c>
      <c r="Q300" s="5">
        <f>MAX(0,I300*'Pesos GPS'!F$13+J300*'Pesos GPS'!F$14+K300*'Pesos GPS'!F$15+L300*'Pesos GPS'!F$16+'Pesos GPS'!F$17)</f>
        <v>0</v>
      </c>
      <c r="R300" s="5">
        <f>MAX(0,I300*'Pesos GPS'!G$13+J300*'Pesos GPS'!G$14+K300*'Pesos GPS'!G$15+L300*'Pesos GPS'!G$16+'Pesos GPS'!G$17)</f>
        <v>0</v>
      </c>
      <c r="S300" s="5">
        <f>MAX(0,I300*'Pesos GPS'!H$13+J300*'Pesos GPS'!H$14+K300*'Pesos GPS'!H$15+L300*'Pesos GPS'!H$16+'Pesos GPS'!H$17)</f>
        <v>0</v>
      </c>
      <c r="T300" s="5">
        <f>MAX(0,I300*'Pesos GPS'!I$13+J300*'Pesos GPS'!I$14+K300*'Pesos GPS'!I$15+L300*'Pesos GPS'!I$16+'Pesos GPS'!I$17)</f>
        <v>0</v>
      </c>
      <c r="U300" s="5">
        <f>M300*'Pesos GPS'!$B$22+N300*'Pesos GPS'!$B$23+O300*'Pesos GPS'!$B$24+P300*'Pesos GPS'!$B$25+Q300*'Pesos GPS'!$B$26+R300*'Pesos GPS'!$B$27+S300*'Pesos GPS'!$B$28+T300*'Pesos GPS'!$B$29+'Pesos GPS'!$B$30</f>
        <v>2.37807146</v>
      </c>
      <c r="V300" s="5">
        <f t="shared" si="1"/>
        <v>0.9151397857</v>
      </c>
      <c r="W300" s="3">
        <f t="shared" si="2"/>
        <v>1</v>
      </c>
      <c r="X300" s="3">
        <f t="shared" si="3"/>
        <v>1</v>
      </c>
      <c r="Y300" s="9">
        <f t="shared" si="4"/>
        <v>0</v>
      </c>
      <c r="Z300" s="9">
        <v>0.9151397857284129</v>
      </c>
      <c r="AA300" s="3" t="str">
        <f t="shared" si="5"/>
        <v>OK</v>
      </c>
    </row>
    <row r="301" ht="15.75" customHeight="1">
      <c r="A301" s="3">
        <v>300.0</v>
      </c>
      <c r="B301" s="3" t="s">
        <v>20</v>
      </c>
      <c r="C301" s="7">
        <v>35.685784</v>
      </c>
      <c r="D301" s="7">
        <v>139.588176</v>
      </c>
      <c r="E301" s="3">
        <v>1.0</v>
      </c>
      <c r="F301" s="3" t="s">
        <v>55</v>
      </c>
      <c r="G301" s="5">
        <f>(C301-'Pesos GPS'!$L$4)/'Pesos GPS'!$L$5</f>
        <v>-0.9964184029</v>
      </c>
      <c r="H301" s="5">
        <f>(D301-'Pesos GPS'!$L$6)/'Pesos GPS'!$L$7</f>
        <v>0.9994343374</v>
      </c>
      <c r="I301" s="5">
        <f>MAX(0,G301*'Pesos GPS'!B$6+H301*'Pesos GPS'!B$7+'Pesos GPS'!B$8)</f>
        <v>0</v>
      </c>
      <c r="J301" s="5">
        <f>MAX(0,G301*'Pesos GPS'!C$6+H301*'Pesos GPS'!C$7+'Pesos GPS'!C$8)</f>
        <v>0</v>
      </c>
      <c r="K301" s="5">
        <f>MAX(0,G301*'Pesos GPS'!D$6+H301*'Pesos GPS'!D$7+'Pesos GPS'!D$8)</f>
        <v>0</v>
      </c>
      <c r="L301" s="5">
        <f>MAX(0,G301*'Pesos GPS'!E$6+H301*'Pesos GPS'!E$7+'Pesos GPS'!E$8)</f>
        <v>0</v>
      </c>
      <c r="M301" s="5">
        <f>MAX(0,I301*'Pesos GPS'!B$13+J301*'Pesos GPS'!B$14+K301*'Pesos GPS'!B$15+L301*'Pesos GPS'!B$16+'Pesos GPS'!B$17)</f>
        <v>0</v>
      </c>
      <c r="N301" s="5">
        <f>MAX(0,I301*'Pesos GPS'!C$13+J301*'Pesos GPS'!C$14+K301*'Pesos GPS'!C$15+L301*'Pesos GPS'!C$16+'Pesos GPS'!C$17)</f>
        <v>0</v>
      </c>
      <c r="O301" s="5">
        <f>MAX(0,I301*'Pesos GPS'!D$13+J301*'Pesos GPS'!D$14+K301*'Pesos GPS'!D$15+L301*'Pesos GPS'!D$16+'Pesos GPS'!D$17)</f>
        <v>0</v>
      </c>
      <c r="P301" s="5">
        <f>MAX(0,I301*'Pesos GPS'!E$13+J301*'Pesos GPS'!E$14+K301*'Pesos GPS'!E$15+L301*'Pesos GPS'!E$16+'Pesos GPS'!E$17)</f>
        <v>0</v>
      </c>
      <c r="Q301" s="5">
        <f>MAX(0,I301*'Pesos GPS'!F$13+J301*'Pesos GPS'!F$14+K301*'Pesos GPS'!F$15+L301*'Pesos GPS'!F$16+'Pesos GPS'!F$17)</f>
        <v>0</v>
      </c>
      <c r="R301" s="5">
        <f>MAX(0,I301*'Pesos GPS'!G$13+J301*'Pesos GPS'!G$14+K301*'Pesos GPS'!G$15+L301*'Pesos GPS'!G$16+'Pesos GPS'!G$17)</f>
        <v>0</v>
      </c>
      <c r="S301" s="5">
        <f>MAX(0,I301*'Pesos GPS'!H$13+J301*'Pesos GPS'!H$14+K301*'Pesos GPS'!H$15+L301*'Pesos GPS'!H$16+'Pesos GPS'!H$17)</f>
        <v>0</v>
      </c>
      <c r="T301" s="5">
        <f>MAX(0,I301*'Pesos GPS'!I$13+J301*'Pesos GPS'!I$14+K301*'Pesos GPS'!I$15+L301*'Pesos GPS'!I$16+'Pesos GPS'!I$17)</f>
        <v>0</v>
      </c>
      <c r="U301" s="5">
        <f>M301*'Pesos GPS'!$B$22+N301*'Pesos GPS'!$B$23+O301*'Pesos GPS'!$B$24+P301*'Pesos GPS'!$B$25+Q301*'Pesos GPS'!$B$26+R301*'Pesos GPS'!$B$27+S301*'Pesos GPS'!$B$28+T301*'Pesos GPS'!$B$29+'Pesos GPS'!$B$30</f>
        <v>2.37807146</v>
      </c>
      <c r="V301" s="5">
        <f t="shared" si="1"/>
        <v>0.9151397857</v>
      </c>
      <c r="W301" s="3">
        <f t="shared" si="2"/>
        <v>1</v>
      </c>
      <c r="X301" s="3">
        <f t="shared" si="3"/>
        <v>1</v>
      </c>
      <c r="Y301" s="9">
        <f t="shared" si="4"/>
        <v>0</v>
      </c>
      <c r="Z301" s="9">
        <v>0.9151397857284129</v>
      </c>
      <c r="AA301" s="3" t="str">
        <f t="shared" si="5"/>
        <v>OK</v>
      </c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31.0"/>
    <col customWidth="1" min="3" max="8" width="14.0"/>
    <col customWidth="1" min="9" max="26" width="8.63"/>
  </cols>
  <sheetData>
    <row r="1" ht="33.0" customHeight="1">
      <c r="A1" s="2" t="s">
        <v>2</v>
      </c>
    </row>
    <row r="3" ht="24.0" customHeight="1">
      <c r="A3" s="1" t="s">
        <v>9</v>
      </c>
      <c r="B3" s="1" t="s">
        <v>12</v>
      </c>
    </row>
    <row r="4">
      <c r="A4" s="3" t="s">
        <v>15</v>
      </c>
      <c r="B4" s="3">
        <v>150.0</v>
      </c>
    </row>
    <row r="5">
      <c r="A5" s="3" t="s">
        <v>20</v>
      </c>
      <c r="B5" s="3">
        <v>150.0</v>
      </c>
    </row>
    <row r="6">
      <c r="A6" s="3" t="s">
        <v>23</v>
      </c>
      <c r="B6" s="3">
        <v>300.0</v>
      </c>
    </row>
    <row r="7">
      <c r="A7" s="3" t="s">
        <v>26</v>
      </c>
      <c r="B7" s="3" t="s">
        <v>28</v>
      </c>
    </row>
    <row r="8">
      <c r="A8" s="3" t="s">
        <v>32</v>
      </c>
      <c r="B8" s="3">
        <v>2000.0</v>
      </c>
    </row>
    <row r="9">
      <c r="A9" s="3" t="s">
        <v>34</v>
      </c>
      <c r="B9" s="3">
        <v>0.1</v>
      </c>
    </row>
    <row r="10">
      <c r="A10" s="3" t="s">
        <v>37</v>
      </c>
      <c r="B10" s="5">
        <v>0.0037104289756940247</v>
      </c>
    </row>
    <row r="11">
      <c r="A11" s="3" t="s">
        <v>43</v>
      </c>
      <c r="B11" s="6">
        <v>1.0</v>
      </c>
    </row>
    <row r="12">
      <c r="A12" s="3" t="s">
        <v>52</v>
      </c>
      <c r="B12" s="6">
        <f>SUM('Validacion GPS'!X2:X301)/300</f>
        <v>1</v>
      </c>
    </row>
    <row r="13">
      <c r="A13" s="3" t="s">
        <v>66</v>
      </c>
      <c r="B13" s="9">
        <f>MAX('Validacion GPS'!Y2:Y301)</f>
        <v>0</v>
      </c>
    </row>
    <row r="14">
      <c r="A14" s="3" t="s">
        <v>73</v>
      </c>
      <c r="B14" s="3">
        <f>COUNTIF('Validacion GPS'!AA2:AA301,"OK")</f>
        <v>300</v>
      </c>
    </row>
    <row r="15">
      <c r="A15" s="3" t="s">
        <v>77</v>
      </c>
      <c r="B15" s="3" t="str">
        <f>IF(AND(B13&lt;0.00000001,B14=300),"PESOS VALIDADOS","REVISAR")</f>
        <v>PESOS VALIDADOS</v>
      </c>
    </row>
    <row r="17">
      <c r="A17" s="4" t="s">
        <v>83</v>
      </c>
    </row>
    <row r="18">
      <c r="A18" s="3" t="s">
        <v>84</v>
      </c>
    </row>
    <row r="19">
      <c r="A19" s="3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